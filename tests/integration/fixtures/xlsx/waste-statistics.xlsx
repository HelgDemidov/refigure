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xl/charts/chart10.xml" ContentType="application/vnd.openxmlformats-officedocument.drawingml.chart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drawings/drawing15.xml" ContentType="application/vnd.openxmlformats-officedocument.drawingml.chartshap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23.xml" ContentType="application/vnd.openxmlformats-officedocument.drawingml.chartshapes+xml"/>
  <Override PartName="/xl/charts/chart20.xml" ContentType="application/vnd.openxmlformats-officedocument.drawingml.chart+xml"/>
  <Override PartName="/xl/drawings/drawing24.xml" ContentType="application/vnd.openxmlformats-officedocument.drawingml.chartshapes+xml"/>
  <Override PartName="/xl/charts/chart21.xml" ContentType="application/vnd.openxmlformats-officedocument.drawingml.chart+xml"/>
  <Override PartName="/xl/drawings/drawing25.xml" ContentType="application/vnd.openxmlformats-officedocument.drawingml.chartshapes+xml"/>
  <Override PartName="/xl/charts/chart22.xml" ContentType="application/vnd.openxmlformats-officedocument.drawingml.chart+xml"/>
  <Override PartName="/xl/drawings/drawing2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llva\Downloads\"/>
    </mc:Choice>
  </mc:AlternateContent>
  <xr:revisionPtr revIDLastSave="0" documentId="8_{49B702CB-F5FE-40A6-83C0-BBD3FF7469C7}" xr6:coauthVersionLast="47" xr6:coauthVersionMax="47" xr10:uidLastSave="{00000000-0000-0000-0000-000000000000}"/>
  <bookViews>
    <workbookView xWindow="-110" yWindow="-110" windowWidth="19420" windowHeight="10300" tabRatio="696" firstSheet="1" activeTab="1" xr2:uid="{00000000-000D-0000-FFFF-FFFF00000000}"/>
  </bookViews>
  <sheets>
    <sheet name="Table_1" sheetId="14" r:id="rId1"/>
    <sheet name="Figure 1" sheetId="16" r:id="rId2"/>
    <sheet name="Figure 2" sheetId="20" r:id="rId3"/>
    <sheet name="Figure_3" sheetId="22" r:id="rId4"/>
    <sheet name="Table_2" sheetId="23" r:id="rId5"/>
    <sheet name="Figure_4" sheetId="31" r:id="rId6"/>
    <sheet name="Figure_5" sheetId="7" r:id="rId7"/>
    <sheet name="Figure_6" sheetId="8" r:id="rId8"/>
    <sheet name="Figure_7" sheetId="9" r:id="rId9"/>
    <sheet name="Figure_8" sheetId="10" r:id="rId10"/>
    <sheet name="Sheet1" sheetId="32" state="hidden" r:id="rId11"/>
  </sheets>
  <externalReferences>
    <externalReference r:id="rId12"/>
    <externalReference r:id="rId13"/>
  </externalReferences>
  <definedNames>
    <definedName name="_xlnm._FilterDatabase" localSheetId="1">'Figure 1'!#REF!</definedName>
    <definedName name="_xlnm._FilterDatabase" localSheetId="3">Figure_3!#REF!</definedName>
    <definedName name="_xlnm._FilterDatabase" localSheetId="7" hidden="1">Figure_6!$B$12:$G$38</definedName>
    <definedName name="_xlnm._FilterDatabase" localSheetId="8" hidden="1">Figure_7!$B$19:$C$36</definedName>
    <definedName name="_xlnm._FilterDatabase" localSheetId="9" hidden="1">Figure_8!$A$21:$H$41</definedName>
    <definedName name="_xlnm._FilterDatabase" localSheetId="4">Table_2!#REF!</definedName>
    <definedName name="_xlnm.Print_Area" localSheetId="1">'Figure 1'!$A$1:$K$37</definedName>
    <definedName name="_xlnm.Print_Area" localSheetId="3">Figure_3!$A$1:$J$50</definedName>
    <definedName name="_xlnm.Print_Area" localSheetId="4">Table_2!$A$1:$N$20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9" i="20" l="1"/>
  <c r="M13" i="23" l="1"/>
  <c r="H9" i="10" l="1"/>
  <c r="H10" i="10"/>
  <c r="G9" i="10"/>
  <c r="G10" i="10"/>
  <c r="F9" i="10"/>
  <c r="F10" i="10"/>
  <c r="E8" i="10"/>
  <c r="E9" i="10"/>
  <c r="E10" i="10"/>
  <c r="D9" i="10"/>
  <c r="D10" i="10"/>
  <c r="C10" i="10"/>
  <c r="C9" i="10"/>
  <c r="H11" i="10"/>
  <c r="H13" i="10"/>
  <c r="H15" i="10"/>
  <c r="H16" i="10"/>
  <c r="H17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G11" i="10"/>
  <c r="G13" i="10"/>
  <c r="G15" i="10"/>
  <c r="G16" i="10"/>
  <c r="G17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F11" i="10"/>
  <c r="F13" i="10"/>
  <c r="F15" i="10"/>
  <c r="F16" i="10"/>
  <c r="F17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E11" i="10"/>
  <c r="E13" i="10"/>
  <c r="E15" i="10"/>
  <c r="E16" i="10"/>
  <c r="E17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21" i="10"/>
  <c r="D11" i="10"/>
  <c r="D13" i="10"/>
  <c r="D15" i="10"/>
  <c r="D16" i="10"/>
  <c r="D17" i="10"/>
  <c r="C11" i="10"/>
  <c r="C13" i="10"/>
  <c r="C15" i="10"/>
  <c r="C16" i="10"/>
  <c r="C17" i="10"/>
  <c r="D50" i="20" l="1"/>
  <c r="C46" i="9" l="1"/>
  <c r="C45" i="9"/>
  <c r="C44" i="9"/>
  <c r="C43" i="9"/>
  <c r="C41" i="9"/>
  <c r="C40" i="9"/>
  <c r="D14" i="23" l="1"/>
  <c r="E14" i="23"/>
  <c r="F14" i="23"/>
  <c r="G14" i="23"/>
  <c r="H14" i="23"/>
  <c r="I14" i="23"/>
  <c r="M15" i="23" l="1"/>
  <c r="M14" i="23"/>
  <c r="M12" i="23"/>
  <c r="M11" i="23"/>
  <c r="M10" i="23"/>
  <c r="M9" i="23"/>
  <c r="M8" i="23"/>
  <c r="M7" i="23"/>
  <c r="E18" i="16"/>
  <c r="E17" i="16"/>
  <c r="E16" i="16"/>
  <c r="E15" i="16"/>
  <c r="E14" i="16"/>
  <c r="E12" i="16"/>
  <c r="E13" i="16"/>
  <c r="E11" i="16"/>
  <c r="E10" i="16"/>
</calcChain>
</file>

<file path=xl/sharedStrings.xml><?xml version="1.0" encoding="utf-8"?>
<sst xmlns="http://schemas.openxmlformats.org/spreadsheetml/2006/main" count="804" uniqueCount="206">
  <si>
    <t>Environment</t>
  </si>
  <si>
    <t>Waste statistics</t>
  </si>
  <si>
    <t>Mining and quarrying</t>
  </si>
  <si>
    <t xml:space="preserve"> Manufacturing</t>
  </si>
  <si>
    <t>Energy</t>
  </si>
  <si>
    <t>Construction and demolition</t>
  </si>
  <si>
    <t>Other economic activities</t>
  </si>
  <si>
    <t>Households</t>
  </si>
  <si>
    <t>Belgium</t>
  </si>
  <si>
    <t>Bulgaria</t>
  </si>
  <si>
    <t>Czechia</t>
  </si>
  <si>
    <t>Denmark</t>
  </si>
  <si>
    <t>Germany</t>
  </si>
  <si>
    <t>Estonia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</si>
  <si>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</si>
  <si>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</si>
  <si>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</si>
  <si>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</si>
  <si>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</si>
  <si>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</si>
  <si>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</si>
  <si>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</si>
  <si>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</si>
  <si>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</si>
  <si>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</si>
  <si>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</si>
  <si>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</si>
  <si>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</si>
  <si>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</si>
  <si>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</si>
  <si>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</si>
  <si>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</si>
  <si>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</si>
  <si>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Montenegro</t>
  </si>
  <si>
    <t>North Macedonia</t>
  </si>
  <si>
    <t>Serbia</t>
  </si>
  <si>
    <t>:</t>
  </si>
  <si>
    <t>Bookmark:</t>
  </si>
  <si>
    <t>(thousand tonnes)</t>
  </si>
  <si>
    <t>Agriculture, forestry and fishing</t>
  </si>
  <si>
    <t>Manufacturing</t>
  </si>
  <si>
    <t>Waste/
water</t>
  </si>
  <si>
    <t>Construction</t>
  </si>
  <si>
    <t>Services
(except wholesale of
waste and scrap)</t>
  </si>
  <si>
    <t>Wholesale of
waste and scrap</t>
  </si>
  <si>
    <t>STOP</t>
  </si>
  <si>
    <t>Waste excluding major mineral waste</t>
  </si>
  <si>
    <t>Major mineral waste</t>
  </si>
  <si>
    <t>Total</t>
  </si>
  <si>
    <t>Cyprus</t>
  </si>
  <si>
    <t>START</t>
  </si>
  <si>
    <t>(million tonnes)</t>
  </si>
  <si>
    <t>Waste/water</t>
  </si>
  <si>
    <t>Other sectors</t>
  </si>
  <si>
    <t>(¹) 2010: not available.</t>
  </si>
  <si>
    <t>(Index 2004 = 100)</t>
  </si>
  <si>
    <t>Recovery</t>
  </si>
  <si>
    <t>Disposal</t>
  </si>
  <si>
    <t>Energy recovery</t>
  </si>
  <si>
    <t>+</t>
  </si>
  <si>
    <t>Note: the two parts of the figure have different scales for the y-axis.</t>
  </si>
  <si>
    <t xml:space="preserve"> </t>
  </si>
  <si>
    <t>Recovery -
energy  recovery</t>
  </si>
  <si>
    <t>Disposal -
landfill and other</t>
  </si>
  <si>
    <t>Disposal -
incineration without energy recovery</t>
  </si>
  <si>
    <t>https://appsso.eurostat.ec.europa.eu/nui/show.do?query=BOOKMARK_DS-063379_QID_-327FE8F0_UID_-3F171EB0&amp;layout=TIME,C,X,0;HAZARD,L,X,1;GEO,L,Y,0;UNIT,L,Z,0;WASTE,L,Z,1;NACE_R2,L,Z,2;INDICATORS,C,Z,3;&amp;zSelection=DS-063379INDICATORS,OBS_FLAG;DS-063379WASTE,TOTAL;DS-063379NACE_R2,TOTAL_HH;DS-063379UNIT,T;&amp;rankName1=UNIT_1_2_-1_2&amp;rankName2=INDICATORS_1_2_-1_2&amp;rankName3=NACE-R2_1_2_-1_2&amp;rankName4=WASTE_1_2_0_0&amp;rankName5=TIME_1_0_0_0&amp;rankName6=HAZARD_1_2_1_0&amp;rankName7=GEO_1_2_0_1&amp;sortC=ASC_-1_FIRST&amp;rStp=&amp;cStp=&amp;rDCh=&amp;cDCh=&amp;rDM=true&amp;cDM=true&amp;footnes=false&amp;empty=false&amp;wai=false&amp;time_mode=ROLLING&amp;time_most_recent=true&amp;lang=EN&amp;cfo=%23%23%23%2C%23%23%23.%23%23%23</t>
  </si>
  <si>
    <t>https://appsso.eurostat.ec.europa.eu/nui/show.do?query=BOOKMARK_DS-052688_QID_42DCDF29_UID_-3F171EB0&amp;layout=TIME,C,X,0;WST_OPER,L,X,1;GEO,L,Y,0;UNIT,L,Z,0;HAZARD,L,Z,1;WASTE,L,Z,2;INDICATORS,C,Z,3;&amp;zSelection=DS-052688WASTE,TOTAL;DS-052688HAZARD,HAZ;DS-052688UNIT,T;DS-052688INDICATORS,OBS_FLAG;&amp;rankName1=WASTE_1_2_-1_2&amp;rankName2=UNIT_1_2_-1_2&amp;rankName3=HAZARD_1_2_-1_2&amp;rankName4=INDICATORS_1_2_-1_2&amp;rankName5=TIME_1_0_0_0&amp;rankName6=WST-OPER_1_2_1_0&amp;rankName7=GEO_1_2_0_1&amp;sortC=ASC_-1_FIRST&amp;rStp=&amp;cStp=&amp;rDCh=&amp;cDCh=&amp;rDM=true&amp;cDM=true&amp;footnes=false&amp;empty=false&amp;wai=false&amp;time_mode=ROLLING&amp;time_most_recent=true&amp;lang=EN&amp;cfo=%23%23%23%2C%23%23%23.%23%23%23</t>
  </si>
  <si>
    <t>EU-27</t>
  </si>
  <si>
    <t>(kg per capita)</t>
  </si>
  <si>
    <t>Note: sorted on total waste generated.</t>
  </si>
  <si>
    <t>Recovery - Recycling</t>
  </si>
  <si>
    <t>Recovery - Backfilling</t>
  </si>
  <si>
    <t>Disposal - Landfill and other</t>
  </si>
  <si>
    <t>Disposal - Incineration without energy recovery</t>
  </si>
  <si>
    <t>(²) 2016 value</t>
  </si>
  <si>
    <t>Bosnia and Herzegovina</t>
  </si>
  <si>
    <t>(% share of total waste treatment)</t>
  </si>
  <si>
    <t>(% share of total waste)</t>
  </si>
  <si>
    <t>(% share of total waste )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</si>
  <si>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</si>
  <si>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</si>
  <si>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</si>
  <si>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</si>
  <si>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</si>
  <si>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</si>
  <si>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</si>
  <si>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</si>
  <si>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</si>
  <si>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</si>
  <si>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</si>
  <si>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</si>
  <si>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</si>
  <si>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</si>
  <si>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</si>
  <si>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</si>
  <si>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</si>
  <si>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</si>
  <si>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</si>
  <si>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</si>
  <si>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</si>
  <si>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</si>
  <si>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</si>
  <si>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</si>
  <si>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</si>
  <si>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</si>
  <si>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</si>
  <si>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IS</t>
  </si>
  <si>
    <t>LI</t>
  </si>
  <si>
    <t>NO</t>
  </si>
  <si>
    <t>ME</t>
  </si>
  <si>
    <t>MK</t>
  </si>
  <si>
    <t>RS</t>
  </si>
  <si>
    <t>TR</t>
  </si>
  <si>
    <t>BA</t>
  </si>
  <si>
    <t>XK</t>
  </si>
  <si>
    <t>kg per capita</t>
  </si>
  <si>
    <t>Note: sorted on 2018 data. The two parts of the figure have different scales for the y-axis.</t>
  </si>
  <si>
    <t>Note: sorted on total hazardous waste recycled and backfilled. The two parts of the figure have different scales for the y-axis.</t>
  </si>
  <si>
    <t>EU</t>
  </si>
  <si>
    <t>(³) This designation is without prejudice to positions on status, and is in line with UNSCR 1244/1999 and the ICJ Opinion on the Kosovo Declaration of Independence</t>
  </si>
  <si>
    <t>unit:</t>
  </si>
  <si>
    <t>EU27_2020</t>
  </si>
  <si>
    <t>TOT_X_MIN</t>
  </si>
  <si>
    <t>hazard:</t>
  </si>
  <si>
    <t>HAZ_NHAZ</t>
  </si>
  <si>
    <t>TOTAL_HH</t>
  </si>
  <si>
    <t>nace_r2:</t>
  </si>
  <si>
    <t>TOTAL</t>
  </si>
  <si>
    <t>time:</t>
  </si>
  <si>
    <t>geo</t>
  </si>
  <si>
    <t>Recovery - 
recycling</t>
  </si>
  <si>
    <t>(²) 2018 Value</t>
  </si>
  <si>
    <t>KG_HAB</t>
  </si>
  <si>
    <t xml:space="preserve">Bosnia and Herzegovina </t>
  </si>
  <si>
    <t>Note: sorted on 2020 data. The two parts of the figure have different scales for the y-axis</t>
  </si>
  <si>
    <t xml:space="preserve"> (¹) 2010: not available.</t>
  </si>
  <si>
    <t>Ireland</t>
  </si>
  <si>
    <t>(¹)This designation is without prejudice to positions on status, and is in line with UNSCR 1244/1999 and the ICJ Opinion on the Kosovo Declaration of Independence.</t>
  </si>
  <si>
    <t xml:space="preserve">Montenegro </t>
  </si>
  <si>
    <t>Türkiye</t>
  </si>
  <si>
    <t>(¹) From 1 July 2020 onwards backfilling is only possible for non-hazardous waste (Directive EU 2018/851, article 1 (3g))</t>
  </si>
  <si>
    <t>Liechtenstein</t>
  </si>
  <si>
    <t xml:space="preserve">Liechtenstein </t>
  </si>
  <si>
    <t>Figure 5: Waste treatment, EU, 2004-2022</t>
  </si>
  <si>
    <t>Figure 6: Waste treatment by type of recovery and disposal, 2022</t>
  </si>
  <si>
    <t>AL</t>
  </si>
  <si>
    <t>UK</t>
  </si>
  <si>
    <t>TRT</t>
  </si>
  <si>
    <t>RCV_B</t>
  </si>
  <si>
    <t>RCV_E</t>
  </si>
  <si>
    <t>DSP_I</t>
  </si>
  <si>
    <t>DSP_L_OTH</t>
  </si>
  <si>
    <t>HAZ</t>
  </si>
  <si>
    <t>waste:</t>
  </si>
  <si>
    <t>Figure 7: Hazardous waste treatment, 2022</t>
  </si>
  <si>
    <t>Hazardous waste treatment, 2022</t>
  </si>
  <si>
    <t>RCV_R</t>
  </si>
  <si>
    <t>Figure 8: Hazardous waste treatment, 2022</t>
  </si>
  <si>
    <t xml:space="preserve">IS </t>
  </si>
  <si>
    <t>Figure 3: Waste generation, excluding major mineral waste, 2010 and 2022</t>
  </si>
  <si>
    <t>Figure 4: Hazardous waste generated, 2010 and 2022</t>
  </si>
  <si>
    <t>Change 2022/2004 (%)</t>
  </si>
  <si>
    <t>Table 2: Waste generation, excluding major mineral waste, EU, 2004-2022</t>
  </si>
  <si>
    <t>Bosnia and Herzegovina (²)</t>
  </si>
  <si>
    <t>Table 1: Waste generation by economic activities and households, 2022</t>
  </si>
  <si>
    <t>Figure 1: Waste generation by economic activities and households, EU, 2022</t>
  </si>
  <si>
    <t>Figure 2: Waste generation, 2022</t>
  </si>
  <si>
    <t xml:space="preserve">Austria  </t>
  </si>
  <si>
    <t>Greece (¹)</t>
  </si>
  <si>
    <t>(¹) provisional data</t>
  </si>
  <si>
    <t>Sweden  (²)</t>
  </si>
  <si>
    <t>Iceland (³)</t>
  </si>
  <si>
    <t>Kosovo (⁴)</t>
  </si>
  <si>
    <t>(⁴) This designation is without prejudice to positions on status, and is in line with UNSCR 1244/1999 and the ICJ Opinion on the Kosovo Declaration of Independence.</t>
  </si>
  <si>
    <r>
      <t>Source:</t>
    </r>
    <r>
      <rPr>
        <sz val="10"/>
        <rFont val="Arial"/>
        <family val="2"/>
      </rPr>
      <t xml:space="preserve"> Eurostat (online data code: env_wasgen)</t>
    </r>
  </si>
  <si>
    <r>
      <t xml:space="preserve">(²) </t>
    </r>
    <r>
      <rPr>
        <sz val="10"/>
        <rFont val="Arial"/>
        <family val="2"/>
      </rPr>
      <t xml:space="preserve">This designation is without prejudice to positions on status, and is in line with UNSCR 1244/1999 and the ICJ Opinion on the Kosovo Declaration of Independence </t>
    </r>
  </si>
  <si>
    <r>
      <t>Source:</t>
    </r>
    <r>
      <rPr>
        <sz val="10"/>
        <color theme="0"/>
        <rFont val="Arial"/>
        <family val="2"/>
      </rPr>
      <t xml:space="preserve"> Eurostat (online data code: env_wasgen)</t>
    </r>
  </si>
  <si>
    <r>
      <t>Source:</t>
    </r>
    <r>
      <rPr>
        <sz val="10"/>
        <rFont val="Arial"/>
        <family val="2"/>
      </rPr>
      <t xml:space="preserve"> Eurostat (online data code: env_wastrt)</t>
    </r>
  </si>
  <si>
    <t>Greece(¹)</t>
  </si>
  <si>
    <t>Iceland (²)</t>
  </si>
  <si>
    <t xml:space="preserve">Bosnia and Herzegovina (³)  </t>
  </si>
  <si>
    <t xml:space="preserve">Montenegro (³)  </t>
  </si>
  <si>
    <t xml:space="preserve">Ireland  </t>
  </si>
  <si>
    <t xml:space="preserve">Iceland (²)  </t>
  </si>
  <si>
    <t xml:space="preserve">Iceland (²) </t>
  </si>
  <si>
    <t xml:space="preserve">Ireland (²) </t>
  </si>
  <si>
    <t xml:space="preserve">Kosovo  (³)  </t>
  </si>
  <si>
    <t xml:space="preserve">Recovery - 
backfilling </t>
  </si>
  <si>
    <t>(²) 2020 data</t>
  </si>
  <si>
    <t>(²) 2020 value.</t>
  </si>
  <si>
    <t>Albania (⁴)</t>
  </si>
  <si>
    <t xml:space="preserve">Kosovo (⁵) </t>
  </si>
  <si>
    <t>(⁵) This designation is without prejudice to positions on status, and is in line with UNSCR 1244/1999 and the ICJ Opinion on the Kosovo Declaration of Independence.</t>
  </si>
  <si>
    <t>(³) data 2021</t>
  </si>
  <si>
    <t>Albania (³)</t>
  </si>
  <si>
    <t xml:space="preserve">Albania (⁴) </t>
  </si>
  <si>
    <t>Kosovo (⁵)</t>
  </si>
  <si>
    <t xml:space="preserve">Kosovo  (⁴) </t>
  </si>
  <si>
    <t>(¹) provisional data.</t>
  </si>
  <si>
    <t>(²) confidential data on waste generated by manufacturing.</t>
  </si>
  <si>
    <t>(³) 2020 data.</t>
  </si>
  <si>
    <t>(⁴ )2021 data.</t>
  </si>
  <si>
    <t>(²) data 2020.</t>
  </si>
  <si>
    <t>(³) data 2021.</t>
  </si>
  <si>
    <t>Source: Eurostat (online data code: env_wasgen)</t>
  </si>
  <si>
    <t>(¹) provisional data,. (²) data 2020. (³) 2010: not available. (⁴) data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</si>
</sst>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#,##0.0_i"/>
    <numFmt numFmtId="166" formatCode="#,##0_i"/>
    <numFmt numFmtId="167" formatCode="#,##0.0"/>
    <numFmt numFmtId="168" formatCode="###\ ###\ ##0"/>
    <numFmt numFmtId="169" formatCode="0.0"/>
    <numFmt numFmtId="170" formatCode="#\ ##0"/>
    <numFmt numFmtId="171" formatCode="#0"/>
    <numFmt numFmtId="172" formatCode="@_i"/>
    <numFmt numFmtId="173" formatCode="_(* #,##0.00_);_(* \(#,##0.00\);_(* \-??_);_(@_)"/>
    <numFmt numFmtId="174" formatCode="_-* #,##0_-;\-* #,##0_-;_-* \-??_-;_-@_-"/>
    <numFmt numFmtId="175" formatCode="#,##0.000000000"/>
    <numFmt numFmtId="176" formatCode="0.0%"/>
    <numFmt numFmtId="177" formatCode="#\ ###\ ##0"/>
    <numFmt numFmtId="178" formatCode="0.000"/>
    <numFmt numFmtId="179" formatCode="_(* #,##0_);_(* \(#,##0\);_(* \-??_);_(@_)"/>
  </numFmts>
  <fonts count="29" x14ac:knownFonts="1">
    <font>
      <sz val="9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D4D4D"/>
      <name val="Calibri"/>
      <family val="2"/>
      <charset val="1"/>
    </font>
    <font>
      <sz val="9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b/>
      <sz val="10"/>
      <color rgb="FF4D4D4D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sz val="10"/>
      <color rgb="FF00FF00"/>
      <name val="Arial"/>
      <family val="2"/>
    </font>
    <font>
      <sz val="10"/>
      <color rgb="FFA6A6A6"/>
      <name val="Arial"/>
      <family val="2"/>
    </font>
    <font>
      <b/>
      <sz val="10"/>
      <color rgb="FFFFFFFF"/>
      <name val="Arial"/>
      <family val="2"/>
    </font>
    <font>
      <sz val="10"/>
      <color rgb="FFBFBFBF"/>
      <name val="Arial"/>
      <family val="2"/>
    </font>
    <font>
      <i/>
      <sz val="10"/>
      <color theme="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000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F2F2"/>
        <bgColor rgb="FFEAEAEA"/>
      </patternFill>
    </fill>
    <fill>
      <patternFill patternType="solid">
        <fgColor rgb="FFA6E6E6"/>
        <bgColor rgb="FFA0C5EA"/>
      </patternFill>
    </fill>
    <fill>
      <patternFill patternType="solid">
        <fgColor theme="4" tint="0.59999389629810485"/>
        <bgColor rgb="FFA0C5EA"/>
      </patternFill>
    </fill>
    <fill>
      <patternFill patternType="solid">
        <fgColor theme="4" tint="0.79998168889431442"/>
        <bgColor rgb="FFEAEAEA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rgb="FFA6A6A6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auto="1"/>
      </bottom>
      <diagonal/>
    </border>
    <border>
      <left/>
      <right/>
      <top style="hair">
        <color rgb="FFC0C0C0"/>
      </top>
      <bottom style="thin">
        <color auto="1"/>
      </bottom>
      <diagonal/>
    </border>
    <border>
      <left style="hair">
        <color rgb="FFA6A6A6"/>
      </left>
      <right/>
      <top/>
      <bottom/>
      <diagonal/>
    </border>
    <border>
      <left/>
      <right/>
      <top style="thin">
        <color auto="1"/>
      </top>
      <bottom style="hair">
        <color rgb="FFC0C0C0"/>
      </bottom>
      <diagonal/>
    </border>
    <border>
      <left/>
      <right/>
      <top/>
      <bottom style="thin">
        <color rgb="FF808080"/>
      </bottom>
      <diagonal/>
    </border>
    <border>
      <left style="hair">
        <color rgb="FFA6A6A6"/>
      </left>
      <right/>
      <top style="thin">
        <color rgb="FF808080"/>
      </top>
      <bottom style="hair">
        <color rgb="FF808080"/>
      </bottom>
      <diagonal/>
    </border>
    <border>
      <left style="hair">
        <color rgb="FFA6A6A6"/>
      </left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/>
      <top style="thin">
        <color auto="1"/>
      </top>
      <bottom style="hair">
        <color rgb="FFC0C0C0"/>
      </bottom>
      <diagonal/>
    </border>
    <border>
      <left/>
      <right style="hair">
        <color rgb="FFA6A6A6"/>
      </right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173" fontId="5" fillId="0" borderId="0" applyBorder="0" applyProtection="0">
      <alignment vertical="center"/>
    </xf>
    <xf numFmtId="9" fontId="5" fillId="0" borderId="0" applyBorder="0" applyProtection="0">
      <alignment vertical="center"/>
    </xf>
    <xf numFmtId="0" fontId="4" fillId="0" borderId="0" applyBorder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</cellStyleXfs>
  <cellXfs count="215">
    <xf numFmtId="0" fontId="0" fillId="0" borderId="0" xfId="0">
      <alignment vertical="center"/>
    </xf>
    <xf numFmtId="0" fontId="6" fillId="0" borderId="0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7" fillId="0" borderId="0" xfId="0" applyFont="1">
      <alignment vertical="center"/>
    </xf>
    <xf numFmtId="0" fontId="7" fillId="0" borderId="0" xfId="0" applyFont="1" applyBorder="1" applyAlignment="1" applyProtection="1">
      <alignment vertical="center"/>
    </xf>
    <xf numFmtId="0" fontId="8" fillId="0" borderId="0" xfId="0" applyFont="1">
      <alignment vertical="center"/>
    </xf>
    <xf numFmtId="0" fontId="10" fillId="0" borderId="0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center" vertical="center"/>
    </xf>
    <xf numFmtId="0" fontId="8" fillId="0" borderId="0" xfId="4" applyFont="1"/>
    <xf numFmtId="167" fontId="7" fillId="0" borderId="0" xfId="0" applyNumberFormat="1" applyFont="1" applyBorder="1" applyAlignment="1" applyProtection="1">
      <alignment vertical="center"/>
    </xf>
    <xf numFmtId="3" fontId="7" fillId="0" borderId="0" xfId="0" applyNumberFormat="1" applyFont="1" applyBorder="1" applyAlignment="1" applyProtection="1">
      <alignment vertical="center"/>
    </xf>
    <xf numFmtId="165" fontId="7" fillId="0" borderId="4" xfId="0" applyNumberFormat="1" applyFont="1" applyBorder="1" applyAlignment="1" applyProtection="1">
      <alignment horizontal="right" vertical="center"/>
    </xf>
    <xf numFmtId="0" fontId="6" fillId="0" borderId="5" xfId="0" applyFont="1" applyBorder="1" applyAlignment="1" applyProtection="1">
      <alignment horizontal="left" vertical="center"/>
    </xf>
    <xf numFmtId="165" fontId="7" fillId="0" borderId="7" xfId="0" applyNumberFormat="1" applyFont="1" applyBorder="1" applyAlignment="1" applyProtection="1">
      <alignment horizontal="right" vertical="center"/>
    </xf>
    <xf numFmtId="0" fontId="6" fillId="0" borderId="9" xfId="0" applyFont="1" applyBorder="1" applyAlignment="1" applyProtection="1">
      <alignment horizontal="left" vertical="center"/>
    </xf>
    <xf numFmtId="165" fontId="7" fillId="0" borderId="5" xfId="0" applyNumberFormat="1" applyFont="1" applyBorder="1" applyAlignment="1" applyProtection="1">
      <alignment horizontal="right" vertical="center"/>
    </xf>
    <xf numFmtId="3" fontId="6" fillId="0" borderId="11" xfId="0" applyNumberFormat="1" applyFont="1" applyBorder="1" applyAlignment="1" applyProtection="1">
      <alignment horizontal="left" vertical="center"/>
    </xf>
    <xf numFmtId="165" fontId="7" fillId="0" borderId="11" xfId="0" applyNumberFormat="1" applyFont="1" applyBorder="1" applyAlignment="1" applyProtection="1">
      <alignment horizontal="right" vertical="center"/>
    </xf>
    <xf numFmtId="0" fontId="6" fillId="0" borderId="18" xfId="0" applyFont="1" applyBorder="1" applyAlignment="1" applyProtection="1">
      <alignment horizontal="left" vertical="center"/>
    </xf>
    <xf numFmtId="165" fontId="7" fillId="0" borderId="9" xfId="0" applyNumberFormat="1" applyFont="1" applyBorder="1" applyAlignment="1" applyProtection="1">
      <alignment horizontal="right" vertical="center"/>
    </xf>
    <xf numFmtId="0" fontId="6" fillId="0" borderId="5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/>
    </xf>
    <xf numFmtId="165" fontId="7" fillId="0" borderId="0" xfId="0" applyNumberFormat="1" applyFont="1" applyBorder="1" applyAlignment="1" applyProtection="1">
      <alignment horizontal="right" vertical="center"/>
    </xf>
    <xf numFmtId="0" fontId="11" fillId="0" borderId="0" xfId="0" applyFont="1" applyBorder="1" applyAlignment="1" applyProtection="1">
      <alignment vertical="center"/>
    </xf>
    <xf numFmtId="0" fontId="10" fillId="0" borderId="0" xfId="0" applyFont="1" applyBorder="1" applyProtection="1">
      <alignment vertical="center"/>
    </xf>
    <xf numFmtId="0" fontId="7" fillId="0" borderId="0" xfId="0" applyFont="1" applyBorder="1" applyAlignment="1" applyProtection="1">
      <alignment horizontal="right" vertical="center" wrapText="1"/>
    </xf>
    <xf numFmtId="0" fontId="12" fillId="0" borderId="0" xfId="0" applyFont="1" applyBorder="1" applyAlignment="1" applyProtection="1">
      <alignment vertical="center"/>
    </xf>
    <xf numFmtId="3" fontId="7" fillId="0" borderId="0" xfId="0" applyNumberFormat="1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vertical="center"/>
    </xf>
    <xf numFmtId="168" fontId="7" fillId="0" borderId="0" xfId="0" applyNumberFormat="1" applyFont="1" applyBorder="1" applyAlignment="1" applyProtection="1">
      <alignment horizontal="right" vertical="center"/>
    </xf>
    <xf numFmtId="176" fontId="7" fillId="0" borderId="0" xfId="2" applyNumberFormat="1" applyFont="1" applyBorder="1" applyProtection="1">
      <alignment vertical="center"/>
    </xf>
    <xf numFmtId="3" fontId="7" fillId="0" borderId="0" xfId="0" applyNumberFormat="1" applyFont="1" applyBorder="1" applyAlignment="1" applyProtection="1">
      <alignment horizontal="right" vertical="center"/>
    </xf>
    <xf numFmtId="169" fontId="7" fillId="0" borderId="0" xfId="0" applyNumberFormat="1" applyFont="1" applyBorder="1" applyAlignment="1" applyProtection="1">
      <alignment vertical="center"/>
    </xf>
    <xf numFmtId="3" fontId="7" fillId="0" borderId="0" xfId="0" applyNumberFormat="1" applyFont="1" applyBorder="1" applyAlignment="1" applyProtection="1">
      <alignment vertical="center" wrapText="1"/>
    </xf>
    <xf numFmtId="0" fontId="7" fillId="0" borderId="0" xfId="0" applyFont="1" applyBorder="1" applyAlignment="1" applyProtection="1">
      <alignment horizontal="right" vertical="center"/>
    </xf>
    <xf numFmtId="9" fontId="7" fillId="0" borderId="0" xfId="2" applyFont="1" applyBorder="1" applyProtection="1">
      <alignment vertical="center"/>
    </xf>
    <xf numFmtId="3" fontId="7" fillId="0" borderId="0" xfId="0" applyNumberFormat="1" applyFont="1" applyBorder="1" applyAlignment="1" applyProtection="1">
      <alignment horizontal="right" vertical="center" wrapText="1"/>
    </xf>
    <xf numFmtId="0" fontId="6" fillId="0" borderId="0" xfId="0" applyFont="1" applyBorder="1" applyProtection="1">
      <alignment vertical="center"/>
    </xf>
    <xf numFmtId="0" fontId="14" fillId="0" borderId="0" xfId="0" applyFont="1" applyBorder="1" applyAlignment="1" applyProtection="1">
      <alignment vertical="center"/>
    </xf>
    <xf numFmtId="0" fontId="15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/>
    <xf numFmtId="3" fontId="7" fillId="0" borderId="0" xfId="0" applyNumberFormat="1" applyFont="1" applyBorder="1" applyAlignment="1" applyProtection="1">
      <alignment horizontal="center" vertical="center"/>
    </xf>
    <xf numFmtId="3" fontId="6" fillId="0" borderId="0" xfId="0" applyNumberFormat="1" applyFont="1" applyBorder="1" applyAlignment="1" applyProtection="1">
      <alignment horizontal="left" vertical="center"/>
    </xf>
    <xf numFmtId="169" fontId="7" fillId="0" borderId="0" xfId="0" applyNumberFormat="1" applyFont="1" applyBorder="1" applyAlignment="1" applyProtection="1">
      <alignment horizontal="left" vertical="center"/>
    </xf>
    <xf numFmtId="169" fontId="13" fillId="0" borderId="0" xfId="0" applyNumberFormat="1" applyFont="1" applyBorder="1" applyAlignment="1" applyProtection="1">
      <alignment vertical="center"/>
    </xf>
    <xf numFmtId="178" fontId="13" fillId="0" borderId="0" xfId="0" applyNumberFormat="1" applyFont="1" applyBorder="1" applyAlignment="1" applyProtection="1">
      <alignment vertical="center"/>
    </xf>
    <xf numFmtId="3" fontId="6" fillId="0" borderId="0" xfId="0" applyNumberFormat="1" applyFont="1" applyBorder="1" applyAlignment="1" applyProtection="1">
      <alignment vertical="center"/>
    </xf>
    <xf numFmtId="9" fontId="7" fillId="0" borderId="0" xfId="2" applyFont="1" applyBorder="1" applyAlignment="1" applyProtection="1">
      <alignment horizontal="right" vertical="center" wrapText="1"/>
    </xf>
    <xf numFmtId="0" fontId="16" fillId="0" borderId="0" xfId="0" applyFont="1" applyBorder="1" applyAlignment="1" applyProtection="1">
      <alignment horizontal="right" vertical="center"/>
    </xf>
    <xf numFmtId="9" fontId="17" fillId="0" borderId="0" xfId="2" applyFont="1" applyBorder="1" applyAlignment="1" applyProtection="1">
      <alignment vertical="center"/>
    </xf>
    <xf numFmtId="3" fontId="6" fillId="0" borderId="0" xfId="0" applyNumberFormat="1" applyFont="1" applyFill="1" applyBorder="1" applyAlignment="1" applyProtection="1">
      <alignment vertical="center"/>
    </xf>
    <xf numFmtId="170" fontId="7" fillId="0" borderId="0" xfId="0" applyNumberFormat="1" applyFont="1" applyFill="1" applyBorder="1" applyAlignment="1" applyProtection="1">
      <alignment vertical="center"/>
    </xf>
    <xf numFmtId="10" fontId="7" fillId="0" borderId="0" xfId="2" applyNumberFormat="1" applyFont="1" applyBorder="1" applyProtection="1">
      <alignment vertical="center"/>
    </xf>
    <xf numFmtId="1" fontId="7" fillId="0" borderId="0" xfId="0" applyNumberFormat="1" applyFont="1" applyBorder="1" applyAlignment="1" applyProtection="1">
      <alignment vertical="center"/>
    </xf>
    <xf numFmtId="170" fontId="7" fillId="0" borderId="0" xfId="0" applyNumberFormat="1" applyFont="1" applyBorder="1" applyAlignment="1" applyProtection="1">
      <alignment vertical="center"/>
    </xf>
    <xf numFmtId="10" fontId="16" fillId="0" borderId="0" xfId="0" applyNumberFormat="1" applyFont="1" applyBorder="1" applyAlignment="1" applyProtection="1">
      <alignment vertical="center"/>
    </xf>
    <xf numFmtId="0" fontId="7" fillId="6" borderId="0" xfId="0" applyFont="1" applyFill="1" applyBorder="1" applyAlignment="1" applyProtection="1">
      <alignment vertical="center"/>
    </xf>
    <xf numFmtId="2" fontId="7" fillId="0" borderId="0" xfId="0" applyNumberFormat="1" applyFont="1" applyBorder="1" applyAlignment="1" applyProtection="1">
      <alignment vertical="center"/>
    </xf>
    <xf numFmtId="170" fontId="7" fillId="6" borderId="0" xfId="0" applyNumberFormat="1" applyFont="1" applyFill="1" applyBorder="1" applyAlignment="1" applyProtection="1">
      <alignment vertical="center"/>
    </xf>
    <xf numFmtId="0" fontId="7" fillId="6" borderId="0" xfId="0" applyFont="1" applyFill="1">
      <alignment vertical="center"/>
    </xf>
    <xf numFmtId="169" fontId="7" fillId="6" borderId="0" xfId="0" applyNumberFormat="1" applyFont="1" applyFill="1" applyBorder="1" applyAlignment="1" applyProtection="1">
      <alignment vertical="center"/>
    </xf>
    <xf numFmtId="169" fontId="7" fillId="0" borderId="0" xfId="0" applyNumberFormat="1" applyFont="1" applyFill="1" applyBorder="1" applyAlignment="1" applyProtection="1">
      <alignment vertical="center"/>
    </xf>
    <xf numFmtId="3" fontId="7" fillId="0" borderId="0" xfId="0" applyNumberFormat="1" applyFont="1" applyFill="1" applyBorder="1" applyAlignment="1" applyProtection="1">
      <alignment horizontal="left" vertical="center"/>
    </xf>
    <xf numFmtId="3" fontId="16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 wrapText="1"/>
    </xf>
    <xf numFmtId="0" fontId="7" fillId="0" borderId="0" xfId="0" applyFont="1" applyAlignment="1"/>
    <xf numFmtId="3" fontId="18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/>
    <xf numFmtId="3" fontId="7" fillId="0" borderId="0" xfId="0" applyNumberFormat="1" applyFont="1" applyBorder="1" applyAlignment="1" applyProtection="1"/>
    <xf numFmtId="169" fontId="13" fillId="0" borderId="0" xfId="0" applyNumberFormat="1" applyFont="1" applyBorder="1" applyAlignment="1" applyProtection="1">
      <alignment horizontal="left" vertical="center"/>
    </xf>
    <xf numFmtId="168" fontId="7" fillId="0" borderId="0" xfId="0" applyNumberFormat="1" applyFont="1" applyBorder="1" applyAlignment="1" applyProtection="1">
      <alignment vertical="center"/>
    </xf>
    <xf numFmtId="3" fontId="7" fillId="0" borderId="0" xfId="0" applyNumberFormat="1" applyFont="1" applyFill="1" applyBorder="1" applyAlignment="1" applyProtection="1">
      <alignment vertical="center"/>
    </xf>
    <xf numFmtId="168" fontId="7" fillId="0" borderId="0" xfId="0" applyNumberFormat="1" applyFont="1" applyFill="1" applyBorder="1" applyAlignment="1" applyProtection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0" borderId="11" xfId="0" applyFont="1" applyBorder="1" applyAlignment="1" applyProtection="1">
      <alignment horizontal="left" vertical="center"/>
    </xf>
    <xf numFmtId="9" fontId="7" fillId="0" borderId="0" xfId="2" applyFont="1">
      <alignment vertical="center"/>
    </xf>
    <xf numFmtId="0" fontId="6" fillId="0" borderId="7" xfId="0" applyFont="1" applyBorder="1" applyAlignment="1" applyProtection="1">
      <alignment horizontal="left" vertical="center" wrapText="1"/>
    </xf>
    <xf numFmtId="167" fontId="7" fillId="0" borderId="7" xfId="0" applyNumberFormat="1" applyFont="1" applyBorder="1" applyAlignment="1" applyProtection="1">
      <alignment vertical="center"/>
    </xf>
    <xf numFmtId="167" fontId="7" fillId="0" borderId="6" xfId="0" applyNumberFormat="1" applyFont="1" applyBorder="1" applyAlignment="1" applyProtection="1">
      <alignment vertical="center"/>
    </xf>
    <xf numFmtId="49" fontId="6" fillId="0" borderId="7" xfId="0" applyNumberFormat="1" applyFont="1" applyBorder="1" applyAlignment="1" applyProtection="1">
      <alignment horizontal="left" vertical="center" wrapText="1"/>
    </xf>
    <xf numFmtId="0" fontId="7" fillId="0" borderId="0" xfId="3" applyNumberFormat="1" applyFont="1" applyFill="1" applyBorder="1" applyAlignment="1"/>
    <xf numFmtId="169" fontId="7" fillId="0" borderId="0" xfId="0" applyNumberFormat="1" applyFont="1" applyAlignment="1"/>
    <xf numFmtId="167" fontId="7" fillId="0" borderId="9" xfId="0" applyNumberFormat="1" applyFont="1" applyBorder="1" applyAlignment="1" applyProtection="1">
      <alignment vertical="center"/>
    </xf>
    <xf numFmtId="167" fontId="7" fillId="0" borderId="8" xfId="0" applyNumberFormat="1" applyFont="1" applyBorder="1" applyAlignment="1" applyProtection="1">
      <alignment vertical="center"/>
    </xf>
    <xf numFmtId="171" fontId="7" fillId="0" borderId="0" xfId="0" applyNumberFormat="1" applyFont="1" applyBorder="1" applyAlignment="1" applyProtection="1">
      <alignment vertical="center"/>
    </xf>
    <xf numFmtId="176" fontId="7" fillId="0" borderId="0" xfId="0" applyNumberFormat="1" applyFont="1">
      <alignment vertical="center"/>
    </xf>
    <xf numFmtId="0" fontId="6" fillId="0" borderId="0" xfId="0" applyFont="1" applyBorder="1" applyAlignment="1" applyProtection="1">
      <alignment horizontal="center" vertical="center"/>
    </xf>
    <xf numFmtId="166" fontId="7" fillId="0" borderId="0" xfId="0" applyNumberFormat="1" applyFont="1" applyBorder="1" applyAlignment="1" applyProtection="1">
      <alignment horizontal="right" vertical="center"/>
    </xf>
    <xf numFmtId="3" fontId="7" fillId="0" borderId="0" xfId="0" applyNumberFormat="1" applyFont="1" applyBorder="1" applyAlignment="1" applyProtection="1">
      <alignment horizontal="right" vertical="center" indent="4"/>
    </xf>
    <xf numFmtId="4" fontId="7" fillId="0" borderId="0" xfId="0" applyNumberFormat="1" applyFont="1" applyBorder="1" applyAlignment="1" applyProtection="1">
      <alignment horizontal="right" vertical="center" indent="4"/>
    </xf>
    <xf numFmtId="172" fontId="7" fillId="0" borderId="0" xfId="0" applyNumberFormat="1" applyFont="1" applyBorder="1" applyAlignment="1" applyProtection="1">
      <alignment horizontal="right" vertical="center"/>
    </xf>
    <xf numFmtId="0" fontId="8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vertical="center"/>
    </xf>
    <xf numFmtId="165" fontId="7" fillId="0" borderId="0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Protection="1">
      <alignment vertical="center"/>
    </xf>
    <xf numFmtId="0" fontId="11" fillId="0" borderId="0" xfId="0" applyFont="1">
      <alignment vertical="center"/>
    </xf>
    <xf numFmtId="0" fontId="6" fillId="0" borderId="0" xfId="0" applyFont="1" applyBorder="1" applyAlignment="1" applyProtection="1">
      <alignment vertical="center" wrapText="1"/>
    </xf>
    <xf numFmtId="0" fontId="8" fillId="0" borderId="0" xfId="0" applyFont="1" applyBorder="1" applyAlignment="1" applyProtection="1">
      <alignment horizontal="left"/>
    </xf>
    <xf numFmtId="172" fontId="8" fillId="0" borderId="0" xfId="0" applyNumberFormat="1" applyFont="1" applyBorder="1" applyAlignment="1" applyProtection="1">
      <alignment horizontal="right" vertical="center"/>
    </xf>
    <xf numFmtId="0" fontId="19" fillId="0" borderId="0" xfId="0" applyFont="1" applyBorder="1" applyAlignment="1" applyProtection="1"/>
    <xf numFmtId="174" fontId="7" fillId="0" borderId="0" xfId="1" applyNumberFormat="1" applyFont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right" vertical="center"/>
    </xf>
    <xf numFmtId="169" fontId="7" fillId="0" borderId="0" xfId="1" applyNumberFormat="1" applyFont="1" applyBorder="1" applyAlignment="1" applyProtection="1">
      <alignment vertical="center"/>
    </xf>
    <xf numFmtId="169" fontId="7" fillId="0" borderId="0" xfId="0" applyNumberFormat="1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vertical="center" wrapText="1"/>
    </xf>
    <xf numFmtId="169" fontId="7" fillId="0" borderId="0" xfId="0" applyNumberFormat="1" applyFont="1">
      <alignment vertical="center"/>
    </xf>
    <xf numFmtId="0" fontId="7" fillId="0" borderId="0" xfId="0" applyFont="1" applyBorder="1" applyAlignment="1" applyProtection="1">
      <alignment horizontal="right" wrapText="1"/>
    </xf>
    <xf numFmtId="0" fontId="20" fillId="0" borderId="0" xfId="0" applyFont="1" applyBorder="1" applyAlignment="1" applyProtection="1">
      <alignment vertical="center"/>
    </xf>
    <xf numFmtId="0" fontId="21" fillId="0" borderId="0" xfId="0" applyFont="1" applyBorder="1" applyAlignment="1" applyProtection="1">
      <alignment vertical="center"/>
    </xf>
    <xf numFmtId="0" fontId="13" fillId="0" borderId="0" xfId="0" applyFont="1">
      <alignment vertical="center"/>
    </xf>
    <xf numFmtId="165" fontId="7" fillId="0" borderId="0" xfId="0" applyNumberFormat="1" applyFont="1" applyBorder="1" applyAlignment="1" applyProtection="1">
      <alignment horizontal="left" vertical="center"/>
    </xf>
    <xf numFmtId="0" fontId="7" fillId="0" borderId="12" xfId="0" applyFont="1" applyBorder="1" applyAlignment="1" applyProtection="1">
      <alignment vertical="center"/>
    </xf>
    <xf numFmtId="165" fontId="7" fillId="0" borderId="0" xfId="0" applyNumberFormat="1" applyFont="1" applyBorder="1" applyAlignment="1" applyProtection="1">
      <alignment vertical="center"/>
    </xf>
    <xf numFmtId="167" fontId="13" fillId="0" borderId="0" xfId="0" applyNumberFormat="1" applyFont="1" applyBorder="1" applyAlignment="1" applyProtection="1">
      <alignment vertical="center"/>
    </xf>
    <xf numFmtId="175" fontId="7" fillId="0" borderId="0" xfId="0" applyNumberFormat="1" applyFont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14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left" wrapText="1"/>
    </xf>
    <xf numFmtId="165" fontId="7" fillId="3" borderId="2" xfId="0" applyNumberFormat="1" applyFont="1" applyFill="1" applyBorder="1" applyAlignment="1" applyProtection="1">
      <alignment horizontal="right" vertical="center"/>
    </xf>
    <xf numFmtId="166" fontId="7" fillId="0" borderId="0" xfId="0" applyNumberFormat="1" applyFont="1" applyBorder="1" applyAlignment="1" applyProtection="1">
      <alignment vertical="center"/>
    </xf>
    <xf numFmtId="165" fontId="7" fillId="3" borderId="1" xfId="0" applyNumberFormat="1" applyFont="1" applyFill="1" applyBorder="1" applyAlignment="1" applyProtection="1">
      <alignment horizontal="right" vertical="center"/>
    </xf>
    <xf numFmtId="0" fontId="6" fillId="0" borderId="7" xfId="0" applyFont="1" applyBorder="1" applyAlignment="1" applyProtection="1">
      <alignment horizontal="left" vertical="center"/>
    </xf>
    <xf numFmtId="165" fontId="7" fillId="0" borderId="6" xfId="0" applyNumberFormat="1" applyFont="1" applyBorder="1" applyAlignment="1" applyProtection="1">
      <alignment horizontal="right" vertical="center"/>
    </xf>
    <xf numFmtId="167" fontId="7" fillId="0" borderId="0" xfId="0" applyNumberFormat="1" applyFont="1">
      <alignment vertical="center"/>
    </xf>
    <xf numFmtId="165" fontId="7" fillId="0" borderId="8" xfId="0" applyNumberFormat="1" applyFont="1" applyBorder="1" applyAlignment="1" applyProtection="1">
      <alignment horizontal="right" vertical="center"/>
    </xf>
    <xf numFmtId="165" fontId="7" fillId="0" borderId="10" xfId="0" applyNumberFormat="1" applyFont="1" applyBorder="1" applyAlignment="1" applyProtection="1">
      <alignment horizontal="right" vertical="center"/>
    </xf>
    <xf numFmtId="165" fontId="7" fillId="0" borderId="2" xfId="0" applyNumberFormat="1" applyFont="1" applyBorder="1" applyAlignment="1" applyProtection="1">
      <alignment horizontal="right" vertical="center"/>
    </xf>
    <xf numFmtId="165" fontId="7" fillId="0" borderId="1" xfId="0" applyNumberFormat="1" applyFont="1" applyBorder="1" applyAlignment="1" applyProtection="1">
      <alignment horizontal="right" vertical="center"/>
    </xf>
    <xf numFmtId="0" fontId="6" fillId="0" borderId="17" xfId="0" applyFont="1" applyBorder="1" applyAlignment="1" applyProtection="1">
      <alignment horizontal="left" vertical="center"/>
    </xf>
    <xf numFmtId="165" fontId="7" fillId="0" borderId="17" xfId="0" applyNumberFormat="1" applyFont="1" applyBorder="1" applyAlignment="1" applyProtection="1">
      <alignment horizontal="right" vertical="center"/>
    </xf>
    <xf numFmtId="0" fontId="6" fillId="0" borderId="1" xfId="0" applyFont="1" applyBorder="1" applyAlignment="1" applyProtection="1">
      <alignment horizontal="left" wrapText="1"/>
    </xf>
    <xf numFmtId="0" fontId="6" fillId="0" borderId="3" xfId="0" applyFont="1" applyBorder="1" applyAlignment="1" applyProtection="1">
      <alignment horizontal="left" vertical="center"/>
    </xf>
    <xf numFmtId="0" fontId="7" fillId="0" borderId="0" xfId="0" applyFont="1" applyBorder="1">
      <alignment vertical="center"/>
    </xf>
    <xf numFmtId="0" fontId="7" fillId="0" borderId="0" xfId="0" applyFont="1" applyFill="1" applyBorder="1" applyProtection="1">
      <alignment vertical="center"/>
    </xf>
    <xf numFmtId="1" fontId="7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 indent="1"/>
    </xf>
    <xf numFmtId="0" fontId="17" fillId="0" borderId="0" xfId="0" applyFont="1" applyBorder="1" applyAlignment="1" applyProtection="1">
      <alignment vertical="center"/>
    </xf>
    <xf numFmtId="176" fontId="6" fillId="0" borderId="0" xfId="0" applyNumberFormat="1" applyFont="1" applyBorder="1" applyAlignment="1" applyProtection="1">
      <alignment horizontal="left" vertical="center"/>
    </xf>
    <xf numFmtId="169" fontId="7" fillId="0" borderId="0" xfId="0" applyNumberFormat="1" applyFont="1" applyBorder="1" applyAlignment="1" applyProtection="1">
      <alignment horizontal="left" vertical="center" wrapText="1"/>
    </xf>
    <xf numFmtId="166" fontId="14" fillId="0" borderId="0" xfId="0" applyNumberFormat="1" applyFont="1" applyBorder="1" applyAlignment="1" applyProtection="1">
      <alignment horizontal="right" vertical="center"/>
    </xf>
    <xf numFmtId="0" fontId="6" fillId="2" borderId="1" xfId="0" applyFont="1" applyFill="1" applyBorder="1" applyAlignment="1" applyProtection="1">
      <alignment horizontal="right" vertical="center" wrapText="1"/>
    </xf>
    <xf numFmtId="0" fontId="8" fillId="6" borderId="0" xfId="0" applyFont="1" applyFill="1">
      <alignment vertical="center"/>
    </xf>
    <xf numFmtId="0" fontId="6" fillId="3" borderId="3" xfId="0" applyFont="1" applyFill="1" applyBorder="1" applyAlignment="1" applyProtection="1">
      <alignment horizontal="left" vertical="center"/>
    </xf>
    <xf numFmtId="169" fontId="7" fillId="3" borderId="3" xfId="0" applyNumberFormat="1" applyFont="1" applyFill="1" applyBorder="1" applyAlignment="1" applyProtection="1">
      <alignment horizontal="right" vertical="center"/>
    </xf>
    <xf numFmtId="0" fontId="6" fillId="0" borderId="4" xfId="0" applyFont="1" applyBorder="1" applyAlignment="1" applyProtection="1">
      <alignment horizontal="left" vertical="center"/>
    </xf>
    <xf numFmtId="169" fontId="7" fillId="0" borderId="4" xfId="0" applyNumberFormat="1" applyFont="1" applyBorder="1" applyAlignment="1" applyProtection="1">
      <alignment horizontal="right" vertical="center"/>
    </xf>
    <xf numFmtId="169" fontId="7" fillId="0" borderId="0" xfId="2" applyNumberFormat="1" applyFont="1" applyBorder="1" applyProtection="1">
      <alignment vertical="center"/>
    </xf>
    <xf numFmtId="0" fontId="22" fillId="0" borderId="7" xfId="0" applyFont="1" applyBorder="1" applyAlignment="1" applyProtection="1">
      <alignment horizontal="left" vertical="center"/>
    </xf>
    <xf numFmtId="169" fontId="7" fillId="0" borderId="9" xfId="0" applyNumberFormat="1" applyFont="1" applyBorder="1" applyAlignment="1" applyProtection="1">
      <alignment horizontal="right" vertical="center"/>
    </xf>
    <xf numFmtId="169" fontId="7" fillId="0" borderId="11" xfId="0" applyNumberFormat="1" applyFont="1" applyBorder="1" applyAlignment="1" applyProtection="1">
      <alignment horizontal="right" vertical="center"/>
    </xf>
    <xf numFmtId="169" fontId="7" fillId="0" borderId="3" xfId="0" applyNumberFormat="1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wrapText="1"/>
    </xf>
    <xf numFmtId="169" fontId="7" fillId="0" borderId="17" xfId="0" applyNumberFormat="1" applyFont="1" applyBorder="1" applyAlignment="1" applyProtection="1">
      <alignment horizontal="right" vertical="center"/>
    </xf>
    <xf numFmtId="177" fontId="7" fillId="0" borderId="0" xfId="0" applyNumberFormat="1" applyFont="1" applyBorder="1" applyAlignment="1" applyProtection="1">
      <alignment vertical="center"/>
    </xf>
    <xf numFmtId="176" fontId="7" fillId="0" borderId="0" xfId="2" applyNumberFormat="1" applyFont="1">
      <alignment vertical="center"/>
    </xf>
    <xf numFmtId="0" fontId="23" fillId="0" borderId="0" xfId="0" applyFont="1" applyBorder="1" applyAlignment="1" applyProtection="1">
      <alignment vertical="center"/>
    </xf>
    <xf numFmtId="179" fontId="7" fillId="0" borderId="0" xfId="1" applyNumberFormat="1" applyFont="1" applyBorder="1" applyProtection="1">
      <alignment vertical="center"/>
    </xf>
    <xf numFmtId="166" fontId="13" fillId="0" borderId="0" xfId="0" applyNumberFormat="1" applyFont="1" applyBorder="1" applyAlignment="1" applyProtection="1">
      <alignment horizontal="right" vertical="center"/>
    </xf>
    <xf numFmtId="166" fontId="13" fillId="0" borderId="0" xfId="0" applyNumberFormat="1" applyFont="1" applyBorder="1" applyAlignment="1" applyProtection="1">
      <alignment vertical="center"/>
    </xf>
    <xf numFmtId="166" fontId="13" fillId="0" borderId="0" xfId="0" applyNumberFormat="1" applyFont="1" applyBorder="1" applyAlignment="1" applyProtection="1">
      <alignment horizontal="right" vertical="top"/>
    </xf>
    <xf numFmtId="0" fontId="13" fillId="0" borderId="0" xfId="0" applyFont="1" applyBorder="1" applyAlignment="1" applyProtection="1">
      <alignment vertical="top"/>
    </xf>
    <xf numFmtId="0" fontId="7" fillId="0" borderId="0" xfId="0" applyFont="1" applyAlignment="1">
      <alignment vertical="top"/>
    </xf>
    <xf numFmtId="0" fontId="7" fillId="0" borderId="0" xfId="0" applyFont="1" applyBorder="1" applyAlignment="1" applyProtection="1">
      <alignment vertical="top"/>
    </xf>
    <xf numFmtId="179" fontId="7" fillId="0" borderId="0" xfId="0" applyNumberFormat="1" applyFont="1">
      <alignment vertical="center"/>
    </xf>
    <xf numFmtId="166" fontId="23" fillId="0" borderId="0" xfId="0" applyNumberFormat="1" applyFont="1" applyBorder="1" applyAlignment="1" applyProtection="1">
      <alignment horizontal="right" vertical="center"/>
    </xf>
    <xf numFmtId="166" fontId="24" fillId="0" borderId="0" xfId="0" applyNumberFormat="1" applyFont="1" applyBorder="1" applyAlignment="1" applyProtection="1">
      <alignment horizontal="right" vertical="center"/>
    </xf>
    <xf numFmtId="1" fontId="7" fillId="0" borderId="0" xfId="1" applyNumberFormat="1" applyFont="1" applyBorder="1" applyProtection="1">
      <alignment vertical="center"/>
    </xf>
    <xf numFmtId="0" fontId="25" fillId="0" borderId="0" xfId="0" applyFont="1" applyAlignment="1">
      <alignment horizontal="left" vertical="center" readingOrder="1"/>
    </xf>
    <xf numFmtId="0" fontId="20" fillId="0" borderId="0" xfId="0" applyFont="1" applyAlignment="1">
      <alignment horizontal="left" vertical="center" readingOrder="1"/>
    </xf>
    <xf numFmtId="0" fontId="23" fillId="0" borderId="0" xfId="7" applyFont="1"/>
    <xf numFmtId="0" fontId="7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 wrapText="1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vertical="center" wrapText="1"/>
    </xf>
    <xf numFmtId="0" fontId="6" fillId="5" borderId="19" xfId="0" applyFont="1" applyFill="1" applyBorder="1" applyAlignment="1" applyProtection="1">
      <alignment horizontal="center" vertical="center" wrapText="1"/>
    </xf>
    <xf numFmtId="0" fontId="6" fillId="5" borderId="20" xfId="0" applyFont="1" applyFill="1" applyBorder="1" applyAlignment="1" applyProtection="1">
      <alignment horizontal="center" vertical="center" wrapText="1"/>
    </xf>
    <xf numFmtId="167" fontId="7" fillId="0" borderId="4" xfId="0" applyNumberFormat="1" applyFont="1" applyBorder="1" applyAlignment="1" applyProtection="1">
      <alignment vertical="center"/>
    </xf>
    <xf numFmtId="167" fontId="7" fillId="0" borderId="21" xfId="0" applyNumberFormat="1" applyFont="1" applyBorder="1" applyAlignment="1" applyProtection="1">
      <alignment vertical="center"/>
    </xf>
    <xf numFmtId="167" fontId="6" fillId="4" borderId="16" xfId="0" applyNumberFormat="1" applyFont="1" applyFill="1" applyBorder="1" applyAlignment="1" applyProtection="1">
      <alignment horizontal="center" vertical="center"/>
    </xf>
    <xf numFmtId="0" fontId="6" fillId="4" borderId="15" xfId="0" applyFont="1" applyFill="1" applyBorder="1" applyAlignment="1" applyProtection="1">
      <alignment horizontal="left" vertical="center"/>
    </xf>
    <xf numFmtId="165" fontId="7" fillId="4" borderId="15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165" fontId="7" fillId="0" borderId="14" xfId="0" applyNumberFormat="1" applyFont="1" applyBorder="1" applyAlignment="1" applyProtection="1">
      <alignment horizontal="right" vertical="center"/>
    </xf>
    <xf numFmtId="0" fontId="26" fillId="0" borderId="0" xfId="0" applyFont="1" applyBorder="1" applyAlignment="1" applyProtection="1">
      <alignment horizontal="left" vertical="center"/>
    </xf>
    <xf numFmtId="0" fontId="27" fillId="0" borderId="0" xfId="0" applyFont="1" applyBorder="1" applyAlignment="1" applyProtection="1">
      <alignment horizontal="left" vertical="center"/>
    </xf>
    <xf numFmtId="0" fontId="6" fillId="5" borderId="15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horizontal="center" vertical="center" wrapText="1"/>
    </xf>
    <xf numFmtId="0" fontId="6" fillId="5" borderId="19" xfId="0" applyFont="1" applyFill="1" applyBorder="1" applyAlignment="1" applyProtection="1">
      <alignment horizontal="left" vertical="center"/>
    </xf>
    <xf numFmtId="165" fontId="7" fillId="4" borderId="16" xfId="0" applyNumberFormat="1" applyFont="1" applyFill="1" applyBorder="1" applyAlignment="1" applyProtection="1">
      <alignment horizontal="right" vertical="center"/>
    </xf>
    <xf numFmtId="165" fontId="7" fillId="0" borderId="21" xfId="0" applyNumberFormat="1" applyFont="1" applyBorder="1" applyAlignment="1" applyProtection="1">
      <alignment horizontal="right" vertical="center"/>
    </xf>
    <xf numFmtId="165" fontId="7" fillId="0" borderId="23" xfId="0" applyNumberFormat="1" applyFont="1" applyBorder="1" applyAlignment="1" applyProtection="1">
      <alignment horizontal="right" vertical="center"/>
    </xf>
    <xf numFmtId="165" fontId="7" fillId="0" borderId="24" xfId="0" applyNumberFormat="1" applyFont="1" applyBorder="1" applyAlignment="1" applyProtection="1">
      <alignment horizontal="right" vertical="center"/>
    </xf>
    <xf numFmtId="0" fontId="6" fillId="5" borderId="25" xfId="0" applyFont="1" applyFill="1" applyBorder="1" applyAlignment="1" applyProtection="1">
      <alignment horizontal="center" vertical="center"/>
    </xf>
    <xf numFmtId="0" fontId="6" fillId="4" borderId="22" xfId="0" applyFont="1" applyFill="1" applyBorder="1" applyAlignment="1" applyProtection="1">
      <alignment horizontal="center" vertical="center"/>
    </xf>
    <xf numFmtId="167" fontId="6" fillId="4" borderId="22" xfId="0" applyNumberFormat="1" applyFont="1" applyFill="1" applyBorder="1" applyAlignment="1" applyProtection="1">
      <alignment horizontal="center" vertical="center"/>
    </xf>
    <xf numFmtId="0" fontId="6" fillId="5" borderId="16" xfId="0" applyFont="1" applyFill="1" applyBorder="1" applyAlignment="1" applyProtection="1">
      <alignment horizontal="center" vertical="center"/>
    </xf>
    <xf numFmtId="167" fontId="6" fillId="4" borderId="26" xfId="0" applyNumberFormat="1" applyFont="1" applyFill="1" applyBorder="1" applyAlignment="1" applyProtection="1">
      <alignment horizontal="center" vertical="center"/>
    </xf>
    <xf numFmtId="0" fontId="28" fillId="0" borderId="0" xfId="0" applyFont="1" applyBorder="1" applyAlignment="1" applyProtection="1">
      <alignment horizontal="left" vertical="center"/>
    </xf>
    <xf numFmtId="2" fontId="7" fillId="0" borderId="0" xfId="0" applyNumberFormat="1" applyFont="1">
      <alignment vertical="center"/>
    </xf>
    <xf numFmtId="169" fontId="7" fillId="0" borderId="0" xfId="2" applyNumberFormat="1" applyFont="1">
      <alignment vertical="center"/>
    </xf>
    <xf numFmtId="0" fontId="28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 wrapText="1"/>
    </xf>
    <xf numFmtId="0" fontId="27" fillId="0" borderId="0" xfId="0" applyFont="1" applyBorder="1" applyAlignment="1" applyProtection="1">
      <alignment horizontal="left" vertical="center"/>
    </xf>
    <xf numFmtId="0" fontId="11" fillId="0" borderId="1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vertical="center" wrapText="1"/>
    </xf>
    <xf numFmtId="0" fontId="6" fillId="2" borderId="13" xfId="0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wrapText="1"/>
    </xf>
  </cellXfs>
  <cellStyles count="8">
    <cellStyle name="Comma" xfId="1" builtinId="3"/>
    <cellStyle name="Comma 2" xfId="5" xr:uid="{00000000-0005-0000-0000-000001000000}"/>
    <cellStyle name="Explanatory Text" xfId="3" builtinId="53" customBuiltin="1"/>
    <cellStyle name="Normal" xfId="0" builtinId="0"/>
    <cellStyle name="Normal 2" xfId="4" xr:uid="{00000000-0005-0000-0000-000004000000}"/>
    <cellStyle name="Normal 3" xfId="6" xr:uid="{00000000-0005-0000-0000-000005000000}"/>
    <cellStyle name="Normal 4" xfId="7" xr:uid="{33CD3E3C-E27B-409B-8B23-C9306C0FEBC8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DE89A"/>
      <rgbColor rgb="FFFF00FF"/>
      <rgbColor rgb="FF7AD9D9"/>
      <rgbColor rgb="FF800000"/>
      <rgbColor rgb="FF008000"/>
      <rgbColor rgb="FF000080"/>
      <rgbColor rgb="FF588944"/>
      <rgbColor rgb="FF800080"/>
      <rgbColor rgb="FF7A85C2"/>
      <rgbColor rgb="FFC0C0C0"/>
      <rgbColor rgb="FF808080"/>
      <rgbColor rgb="FF9199CA"/>
      <rgbColor rgb="FF854337"/>
      <rgbColor rgb="FFEAEAEA"/>
      <rgbColor rgb="FFD3F2F2"/>
      <rgbColor rgb="FF69204C"/>
      <rgbColor rgb="FFC84B96"/>
      <rgbColor rgb="FF246BB3"/>
      <rgbColor rgb="FFC3C6E3"/>
      <rgbColor rgb="FF000080"/>
      <rgbColor rgb="FFFF00FF"/>
      <rgbColor rgb="FFA6E6E6"/>
      <rgbColor rgb="FF00FFFF"/>
      <rgbColor rgb="FF800080"/>
      <rgbColor rgb="FF800000"/>
      <rgbColor rgb="FF71A8DF"/>
      <rgbColor rgb="FF0000FF"/>
      <rgbColor rgb="FF2DAEAE"/>
      <rgbColor rgb="FFDEDFF0"/>
      <rgbColor rgb="FFE2EBAC"/>
      <rgbColor rgb="FFF5E69D"/>
      <rgbColor rgb="FFA0C5EA"/>
      <rgbColor rgb="FFDE93C0"/>
      <rgbColor rgb="FFBFBFBF"/>
      <rgbColor rgb="FFE9B7D5"/>
      <rgbColor rgb="FF286EB4"/>
      <rgbColor rgb="FF32AFAF"/>
      <rgbColor rgb="FFCADD5C"/>
      <rgbColor rgb="FFDEDFEF"/>
      <rgbColor rgb="FFA6A6A6"/>
      <rgbColor rgb="FFFF6600"/>
      <rgbColor rgb="FF5F5F5F"/>
      <rgbColor rgb="FF969696"/>
      <rgbColor rgb="FF195858"/>
      <rgbColor rgb="FF2C9B9B"/>
      <rgbColor rgb="FF003300"/>
      <rgbColor rgb="FF333300"/>
      <rgbColor rgb="FF993300"/>
      <rgbColor rgb="FFC64693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04040"/>
      <color rgb="FF388A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200" b="1">
                <a:latin typeface="Arial"/>
                <a:ea typeface="Arial"/>
                <a:cs typeface="Arial"/>
              </a:defRPr>
            </a:pPr>
            <a:r>
              <a:rPr lang="en-US"/>
              <a:t>Waste generation by economic activities and households, EU, 2022</a:t>
            </a:r>
          </a:p>
          <a:p>
            <a:pPr algn="l">
              <a:defRPr sz="1200" b="1">
                <a:latin typeface="Arial"/>
                <a:ea typeface="Arial"/>
                <a:cs typeface="Arial"/>
              </a:defRPr>
            </a:pPr>
            <a:r>
              <a:rPr lang="en-US" sz="1000" b="0"/>
              <a:t>(% share of total waste)</a:t>
            </a:r>
          </a:p>
        </c:rich>
      </c:tx>
      <c:layout>
        <c:manualLayout>
          <c:xMode val="edge"/>
          <c:yMode val="edge"/>
          <c:x val="9.852216748768473E-3"/>
          <c:y val="9.870935574268879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615763546798032"/>
          <c:y val="0.26185124344641775"/>
          <c:w val="0.49261083743842365"/>
          <c:h val="0.49354677871344405"/>
        </c:manualLayout>
      </c:layout>
      <c:pieChart>
        <c:varyColors val="1"/>
        <c:ser>
          <c:idx val="0"/>
          <c:order val="0"/>
          <c:spPr>
            <a:ln w="1905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rgbClr val="2644A7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1-DEFF-48FB-866F-71103CBEBC62}"/>
              </c:ext>
            </c:extLst>
          </c:dPt>
          <c:dPt>
            <c:idx val="1"/>
            <c:bubble3D val="0"/>
            <c:spPr>
              <a:solidFill>
                <a:srgbClr val="2644A7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3-DEFF-48FB-866F-71103CBEBC62}"/>
              </c:ext>
            </c:extLst>
          </c:dPt>
          <c:dPt>
            <c:idx val="2"/>
            <c:bubble3D val="0"/>
            <c:spPr>
              <a:solidFill>
                <a:srgbClr val="B09120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5-DEFF-48FB-866F-71103CBEBC62}"/>
              </c:ext>
            </c:extLst>
          </c:dPt>
          <c:dPt>
            <c:idx val="3"/>
            <c:bubble3D val="0"/>
            <c:spPr>
              <a:solidFill>
                <a:srgbClr val="B09120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7-DEFF-48FB-866F-71103CBEBC62}"/>
              </c:ext>
            </c:extLst>
          </c:dPt>
          <c:dPt>
            <c:idx val="4"/>
            <c:bubble3D val="0"/>
            <c:spPr>
              <a:solidFill>
                <a:srgbClr val="E04040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9-DEFF-48FB-866F-71103CBEBC62}"/>
              </c:ext>
            </c:extLst>
          </c:dPt>
          <c:dPt>
            <c:idx val="5"/>
            <c:bubble3D val="0"/>
            <c:spPr>
              <a:solidFill>
                <a:srgbClr val="E04040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B-DEFF-48FB-866F-71103CBEBC62}"/>
              </c:ext>
            </c:extLst>
          </c:dPt>
          <c:dPt>
            <c:idx val="6"/>
            <c:bubble3D val="0"/>
            <c:spPr>
              <a:solidFill>
                <a:srgbClr val="208486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D-DEFF-48FB-866F-71103CBEBC62}"/>
              </c:ext>
            </c:extLst>
          </c:dPt>
          <c:dPt>
            <c:idx val="7"/>
            <c:bubble3D val="0"/>
            <c:spPr>
              <a:solidFill>
                <a:srgbClr val="208486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F-DEFF-48FB-866F-71103CBEBC62}"/>
              </c:ext>
            </c:extLst>
          </c:dPt>
          <c:dPt>
            <c:idx val="8"/>
            <c:bubble3D val="0"/>
            <c:spPr>
              <a:solidFill>
                <a:srgbClr val="388AE2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11-DEFF-48FB-866F-71103CBEBC62}"/>
              </c:ext>
            </c:extLst>
          </c:dPt>
          <c:dLbls>
            <c:dLbl>
              <c:idx val="1"/>
              <c:numFmt formatCode="0_i%" sourceLinked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EFF-48FB-866F-71103CBEBC62}"/>
                </c:ext>
              </c:extLst>
            </c:dLbl>
            <c:dLbl>
              <c:idx val="2"/>
              <c:numFmt formatCode="0_i%" sourceLinked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EFF-48FB-866F-71103CBEBC62}"/>
                </c:ext>
              </c:extLst>
            </c:dLbl>
            <c:dLbl>
              <c:idx val="4"/>
              <c:layout>
                <c:manualLayout>
                  <c:x val="-0.11083743842364532"/>
                  <c:y val="2.96128067228066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FF-48FB-866F-71103CBEBC62}"/>
                </c:ext>
              </c:extLst>
            </c:dLbl>
            <c:dLbl>
              <c:idx val="5"/>
              <c:layout>
                <c:manualLayout>
                  <c:x val="-4.6798029556650265E-2"/>
                  <c:y val="3.9483742297075498E-2"/>
                </c:manualLayout>
              </c:layout>
              <c:numFmt formatCode="0_i%" sourceLinked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FF-48FB-866F-71103CBEBC62}"/>
                </c:ext>
              </c:extLst>
            </c:dLbl>
            <c:dLbl>
              <c:idx val="6"/>
              <c:numFmt formatCode="0_i%" sourceLinked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EFF-48FB-866F-71103CBEBC62}"/>
                </c:ext>
              </c:extLst>
            </c:dLbl>
            <c:dLbl>
              <c:idx val="7"/>
              <c:layout>
                <c:manualLayout>
                  <c:x val="2.4630541871921093E-2"/>
                  <c:y val="-6.1693347339180506E-2"/>
                </c:manualLayout>
              </c:layout>
              <c:numFmt formatCode="0_i%" sourceLinked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EFF-48FB-866F-71103CBEBC62}"/>
                </c:ext>
              </c:extLst>
            </c:dLbl>
            <c:dLbl>
              <c:idx val="8"/>
              <c:layout>
                <c:manualLayout>
                  <c:x val="0.14285714285714277"/>
                  <c:y val="-1.48064033614033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EFF-48FB-866F-71103CBEBC62}"/>
                </c:ext>
              </c:extLst>
            </c:dLbl>
            <c:numFmt formatCode="0_i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'Figure 1'!$C$10:$C$18</c:f>
              <c:strCache>
                <c:ptCount val="9"/>
                <c:pt idx="0">
                  <c:v>Construction</c:v>
                </c:pt>
                <c:pt idx="1">
                  <c:v>Mining and quarrying</c:v>
                </c:pt>
                <c:pt idx="2">
                  <c:v>Waste/
water</c:v>
                </c:pt>
                <c:pt idx="3">
                  <c:v>Manufacturing</c:v>
                </c:pt>
                <c:pt idx="4">
                  <c:v>Households</c:v>
                </c:pt>
                <c:pt idx="5">
                  <c:v>Services
(except wholesale of
waste and scrap)</c:v>
                </c:pt>
                <c:pt idx="6">
                  <c:v>Energy</c:v>
                </c:pt>
                <c:pt idx="7">
                  <c:v>Agriculture, forestry and fishing</c:v>
                </c:pt>
                <c:pt idx="8">
                  <c:v>Wholesale of
waste and scrap</c:v>
                </c:pt>
              </c:strCache>
            </c:strRef>
          </c:cat>
          <c:val>
            <c:numRef>
              <c:f>'Figure 1'!$D$10:$D$18</c:f>
              <c:numCache>
                <c:formatCode>###\ ###\ ##0</c:formatCode>
                <c:ptCount val="9"/>
                <c:pt idx="0">
                  <c:v>858270</c:v>
                </c:pt>
                <c:pt idx="1">
                  <c:v>506690</c:v>
                </c:pt>
                <c:pt idx="2">
                  <c:v>233570</c:v>
                </c:pt>
                <c:pt idx="3">
                  <c:v>230640</c:v>
                </c:pt>
                <c:pt idx="4">
                  <c:v>199880</c:v>
                </c:pt>
                <c:pt idx="5">
                  <c:v>104470</c:v>
                </c:pt>
                <c:pt idx="6">
                  <c:v>66920</c:v>
                </c:pt>
                <c:pt idx="7">
                  <c:v>22970</c:v>
                </c:pt>
                <c:pt idx="8">
                  <c:v>12070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EFF-48FB-866F-71103CBEBC6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Waste generation, 2022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(kg per capita)</a:t>
            </a:r>
          </a:p>
        </c:rich>
      </c:tx>
      <c:layout>
        <c:manualLayout>
          <c:xMode val="edge"/>
          <c:yMode val="edge"/>
          <c:x val="5.3333333333333332E-3"/>
          <c:y val="1.0066229049908483E-2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4872853421239782"/>
          <c:w val="0.97066666666666668"/>
          <c:h val="0.650045169230549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2'!$C$9</c:f>
              <c:strCache>
                <c:ptCount val="1"/>
                <c:pt idx="0">
                  <c:v>Waste excluding major mineral waste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2'!$B$10:$B$51</c:f>
              <c:strCache>
                <c:ptCount val="42"/>
                <c:pt idx="0">
                  <c:v>EU</c:v>
                </c:pt>
                <c:pt idx="2">
                  <c:v>Finland</c:v>
                </c:pt>
                <c:pt idx="3">
                  <c:v>Estonia</c:v>
                </c:pt>
                <c:pt idx="4">
                  <c:v>Sweden</c:v>
                </c:pt>
                <c:pt idx="5">
                  <c:v>Luxembourg</c:v>
                </c:pt>
                <c:pt idx="6">
                  <c:v>Bulgaria</c:v>
                </c:pt>
                <c:pt idx="7">
                  <c:v>Romania</c:v>
                </c:pt>
                <c:pt idx="8">
                  <c:v>Austria</c:v>
                </c:pt>
                <c:pt idx="9">
                  <c:v>Netherlands</c:v>
                </c:pt>
                <c:pt idx="10">
                  <c:v>Slovenia</c:v>
                </c:pt>
                <c:pt idx="11">
                  <c:v>Belgium</c:v>
                </c:pt>
                <c:pt idx="12">
                  <c:v>France</c:v>
                </c:pt>
                <c:pt idx="13">
                  <c:v>Malta</c:v>
                </c:pt>
                <c:pt idx="14">
                  <c:v>Poland</c:v>
                </c:pt>
                <c:pt idx="15">
                  <c:v>Germany</c:v>
                </c:pt>
                <c:pt idx="16">
                  <c:v>Czechia</c:v>
                </c:pt>
                <c:pt idx="17">
                  <c:v>Denmark</c:v>
                </c:pt>
                <c:pt idx="18">
                  <c:v>Cyprus</c:v>
                </c:pt>
                <c:pt idx="19">
                  <c:v>Italy</c:v>
                </c:pt>
                <c:pt idx="20">
                  <c:v>Ireland</c:v>
                </c:pt>
                <c:pt idx="21">
                  <c:v>Greece (¹)</c:v>
                </c:pt>
                <c:pt idx="22">
                  <c:v>Hungary</c:v>
                </c:pt>
                <c:pt idx="23">
                  <c:v>Spain</c:v>
                </c:pt>
                <c:pt idx="24">
                  <c:v>Slovakia</c:v>
                </c:pt>
                <c:pt idx="25">
                  <c:v>Lithuania</c:v>
                </c:pt>
                <c:pt idx="26">
                  <c:v>Portugal</c:v>
                </c:pt>
                <c:pt idx="27">
                  <c:v>Croatia</c:v>
                </c:pt>
                <c:pt idx="28">
                  <c:v>Latvia</c:v>
                </c:pt>
                <c:pt idx="30">
                  <c:v>Liechtenstein</c:v>
                </c:pt>
                <c:pt idx="31">
                  <c:v>Iceland (²)</c:v>
                </c:pt>
                <c:pt idx="32">
                  <c:v>Norway</c:v>
                </c:pt>
                <c:pt idx="34">
                  <c:v>Serbia</c:v>
                </c:pt>
                <c:pt idx="35">
                  <c:v>Montenegro</c:v>
                </c:pt>
                <c:pt idx="36">
                  <c:v>Türkiye</c:v>
                </c:pt>
                <c:pt idx="37">
                  <c:v>North Macedonia</c:v>
                </c:pt>
                <c:pt idx="39">
                  <c:v>Albania (³)</c:v>
                </c:pt>
                <c:pt idx="40">
                  <c:v>Bosnia and Herzegovina </c:v>
                </c:pt>
                <c:pt idx="41">
                  <c:v>Kosovo (⁴)</c:v>
                </c:pt>
              </c:strCache>
            </c:strRef>
          </c:cat>
          <c:val>
            <c:numRef>
              <c:f>'Figure 2'!$C$10:$C$51</c:f>
              <c:numCache>
                <c:formatCode>#\ ##0</c:formatCode>
                <c:ptCount val="42"/>
                <c:pt idx="0">
                  <c:v>1777</c:v>
                </c:pt>
                <c:pt idx="2">
                  <c:v>1802</c:v>
                </c:pt>
                <c:pt idx="3">
                  <c:v>7491</c:v>
                </c:pt>
                <c:pt idx="4">
                  <c:v>2156</c:v>
                </c:pt>
                <c:pt idx="5">
                  <c:v>2655</c:v>
                </c:pt>
                <c:pt idx="6">
                  <c:v>3761</c:v>
                </c:pt>
                <c:pt idx="7">
                  <c:v>1102</c:v>
                </c:pt>
                <c:pt idx="8">
                  <c:v>1915</c:v>
                </c:pt>
                <c:pt idx="9">
                  <c:v>2514</c:v>
                </c:pt>
                <c:pt idx="10">
                  <c:v>1234</c:v>
                </c:pt>
                <c:pt idx="11">
                  <c:v>2963</c:v>
                </c:pt>
                <c:pt idx="12">
                  <c:v>1451</c:v>
                </c:pt>
                <c:pt idx="13">
                  <c:v>1125</c:v>
                </c:pt>
                <c:pt idx="14">
                  <c:v>2094</c:v>
                </c:pt>
                <c:pt idx="15">
                  <c:v>1772</c:v>
                </c:pt>
                <c:pt idx="16">
                  <c:v>1519</c:v>
                </c:pt>
                <c:pt idx="17">
                  <c:v>1611</c:v>
                </c:pt>
                <c:pt idx="18">
                  <c:v>2038</c:v>
                </c:pt>
                <c:pt idx="19">
                  <c:v>1883</c:v>
                </c:pt>
                <c:pt idx="20">
                  <c:v>1529</c:v>
                </c:pt>
                <c:pt idx="21">
                  <c:v>1349</c:v>
                </c:pt>
                <c:pt idx="22">
                  <c:v>1593</c:v>
                </c:pt>
                <c:pt idx="23">
                  <c:v>1474</c:v>
                </c:pt>
                <c:pt idx="24">
                  <c:v>1564</c:v>
                </c:pt>
                <c:pt idx="25">
                  <c:v>1494</c:v>
                </c:pt>
                <c:pt idx="26">
                  <c:v>1370</c:v>
                </c:pt>
                <c:pt idx="27">
                  <c:v>1283</c:v>
                </c:pt>
                <c:pt idx="28">
                  <c:v>1117</c:v>
                </c:pt>
                <c:pt idx="30">
                  <c:v>889</c:v>
                </c:pt>
                <c:pt idx="31">
                  <c:v>1442</c:v>
                </c:pt>
                <c:pt idx="32">
                  <c:v>1618</c:v>
                </c:pt>
                <c:pt idx="34">
                  <c:v>1680</c:v>
                </c:pt>
                <c:pt idx="35">
                  <c:v>1164</c:v>
                </c:pt>
                <c:pt idx="36">
                  <c:v>946</c:v>
                </c:pt>
                <c:pt idx="37">
                  <c:v>712</c:v>
                </c:pt>
                <c:pt idx="39">
                  <c:v>180</c:v>
                </c:pt>
                <c:pt idx="40" formatCode="General">
                  <c:v>1642</c:v>
                </c:pt>
                <c:pt idx="41">
                  <c:v>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4-4B1F-BE9B-59C51777DF7D}"/>
            </c:ext>
          </c:extLst>
        </c:ser>
        <c:ser>
          <c:idx val="1"/>
          <c:order val="1"/>
          <c:tx>
            <c:strRef>
              <c:f>'Figure 2'!$D$9</c:f>
              <c:strCache>
                <c:ptCount val="1"/>
                <c:pt idx="0">
                  <c:v>Major mineral waste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2'!$B$10:$B$51</c:f>
              <c:strCache>
                <c:ptCount val="42"/>
                <c:pt idx="0">
                  <c:v>EU</c:v>
                </c:pt>
                <c:pt idx="2">
                  <c:v>Finland</c:v>
                </c:pt>
                <c:pt idx="3">
                  <c:v>Estonia</c:v>
                </c:pt>
                <c:pt idx="4">
                  <c:v>Sweden</c:v>
                </c:pt>
                <c:pt idx="5">
                  <c:v>Luxembourg</c:v>
                </c:pt>
                <c:pt idx="6">
                  <c:v>Bulgaria</c:v>
                </c:pt>
                <c:pt idx="7">
                  <c:v>Romania</c:v>
                </c:pt>
                <c:pt idx="8">
                  <c:v>Austria</c:v>
                </c:pt>
                <c:pt idx="9">
                  <c:v>Netherlands</c:v>
                </c:pt>
                <c:pt idx="10">
                  <c:v>Slovenia</c:v>
                </c:pt>
                <c:pt idx="11">
                  <c:v>Belgium</c:v>
                </c:pt>
                <c:pt idx="12">
                  <c:v>France</c:v>
                </c:pt>
                <c:pt idx="13">
                  <c:v>Malta</c:v>
                </c:pt>
                <c:pt idx="14">
                  <c:v>Poland</c:v>
                </c:pt>
                <c:pt idx="15">
                  <c:v>Germany</c:v>
                </c:pt>
                <c:pt idx="16">
                  <c:v>Czechia</c:v>
                </c:pt>
                <c:pt idx="17">
                  <c:v>Denmark</c:v>
                </c:pt>
                <c:pt idx="18">
                  <c:v>Cyprus</c:v>
                </c:pt>
                <c:pt idx="19">
                  <c:v>Italy</c:v>
                </c:pt>
                <c:pt idx="20">
                  <c:v>Ireland</c:v>
                </c:pt>
                <c:pt idx="21">
                  <c:v>Greece (¹)</c:v>
                </c:pt>
                <c:pt idx="22">
                  <c:v>Hungary</c:v>
                </c:pt>
                <c:pt idx="23">
                  <c:v>Spain</c:v>
                </c:pt>
                <c:pt idx="24">
                  <c:v>Slovakia</c:v>
                </c:pt>
                <c:pt idx="25">
                  <c:v>Lithuania</c:v>
                </c:pt>
                <c:pt idx="26">
                  <c:v>Portugal</c:v>
                </c:pt>
                <c:pt idx="27">
                  <c:v>Croatia</c:v>
                </c:pt>
                <c:pt idx="28">
                  <c:v>Latvia</c:v>
                </c:pt>
                <c:pt idx="30">
                  <c:v>Liechtenstein</c:v>
                </c:pt>
                <c:pt idx="31">
                  <c:v>Iceland (²)</c:v>
                </c:pt>
                <c:pt idx="32">
                  <c:v>Norway</c:v>
                </c:pt>
                <c:pt idx="34">
                  <c:v>Serbia</c:v>
                </c:pt>
                <c:pt idx="35">
                  <c:v>Montenegro</c:v>
                </c:pt>
                <c:pt idx="36">
                  <c:v>Türkiye</c:v>
                </c:pt>
                <c:pt idx="37">
                  <c:v>North Macedonia</c:v>
                </c:pt>
                <c:pt idx="39">
                  <c:v>Albania (³)</c:v>
                </c:pt>
                <c:pt idx="40">
                  <c:v>Bosnia and Herzegovina </c:v>
                </c:pt>
                <c:pt idx="41">
                  <c:v>Kosovo (⁴)</c:v>
                </c:pt>
              </c:strCache>
            </c:strRef>
          </c:cat>
          <c:val>
            <c:numRef>
              <c:f>'Figure 2'!$D$10:$D$51</c:f>
              <c:numCache>
                <c:formatCode>#\ ##0</c:formatCode>
                <c:ptCount val="42"/>
                <c:pt idx="0">
                  <c:v>3214</c:v>
                </c:pt>
                <c:pt idx="2">
                  <c:v>18148</c:v>
                </c:pt>
                <c:pt idx="3">
                  <c:v>9261</c:v>
                </c:pt>
                <c:pt idx="4">
                  <c:v>13471</c:v>
                </c:pt>
                <c:pt idx="5">
                  <c:v>12514</c:v>
                </c:pt>
                <c:pt idx="6">
                  <c:v>10842</c:v>
                </c:pt>
                <c:pt idx="7">
                  <c:v>7308</c:v>
                </c:pt>
                <c:pt idx="8">
                  <c:v>6164</c:v>
                </c:pt>
                <c:pt idx="9">
                  <c:v>4407</c:v>
                </c:pt>
                <c:pt idx="10">
                  <c:v>4163</c:v>
                </c:pt>
                <c:pt idx="11">
                  <c:v>2400</c:v>
                </c:pt>
                <c:pt idx="12">
                  <c:v>3625</c:v>
                </c:pt>
                <c:pt idx="13">
                  <c:v>3879</c:v>
                </c:pt>
                <c:pt idx="14">
                  <c:v>2645</c:v>
                </c:pt>
                <c:pt idx="15">
                  <c:v>2832</c:v>
                </c:pt>
                <c:pt idx="16">
                  <c:v>2153</c:v>
                </c:pt>
                <c:pt idx="17">
                  <c:v>1722</c:v>
                </c:pt>
                <c:pt idx="18">
                  <c:v>1256</c:v>
                </c:pt>
                <c:pt idx="19">
                  <c:v>1329</c:v>
                </c:pt>
                <c:pt idx="20">
                  <c:v>1442</c:v>
                </c:pt>
                <c:pt idx="21">
                  <c:v>1509</c:v>
                </c:pt>
                <c:pt idx="22">
                  <c:v>1245</c:v>
                </c:pt>
                <c:pt idx="23">
                  <c:v>1006</c:v>
                </c:pt>
                <c:pt idx="24">
                  <c:v>898</c:v>
                </c:pt>
                <c:pt idx="25">
                  <c:v>509</c:v>
                </c:pt>
                <c:pt idx="26">
                  <c:v>508</c:v>
                </c:pt>
                <c:pt idx="27">
                  <c:v>555</c:v>
                </c:pt>
                <c:pt idx="28">
                  <c:v>213</c:v>
                </c:pt>
                <c:pt idx="30">
                  <c:v>10199</c:v>
                </c:pt>
                <c:pt idx="31">
                  <c:v>1453</c:v>
                </c:pt>
                <c:pt idx="32">
                  <c:v>955</c:v>
                </c:pt>
                <c:pt idx="34">
                  <c:v>24645</c:v>
                </c:pt>
                <c:pt idx="35">
                  <c:v>886</c:v>
                </c:pt>
                <c:pt idx="36">
                  <c:v>338</c:v>
                </c:pt>
                <c:pt idx="37">
                  <c:v>326</c:v>
                </c:pt>
                <c:pt idx="39">
                  <c:v>65</c:v>
                </c:pt>
                <c:pt idx="40" formatCode="General">
                  <c:v>155</c:v>
                </c:pt>
                <c:pt idx="4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4-4B1F-BE9B-59C51777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15534568"/>
        <c:axId val="215538880"/>
      </c:barChart>
      <c:catAx>
        <c:axId val="215534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538880"/>
        <c:crosses val="autoZero"/>
        <c:auto val="1"/>
        <c:lblAlgn val="ctr"/>
        <c:lblOffset val="100"/>
        <c:tickMarkSkip val="1"/>
        <c:noMultiLvlLbl val="1"/>
      </c:catAx>
      <c:valAx>
        <c:axId val="215538880"/>
        <c:scaling>
          <c:orientation val="minMax"/>
          <c:max val="280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\ ##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/>
                </a:solidFill>
                <a:prstDash val="solid"/>
                <a:round/>
              </a14:hiddenLine>
            </a:ext>
          </a:extLst>
        </c:spPr>
        <c:crossAx val="215534568"/>
        <c:crosses val="autoZero"/>
        <c:crossBetween val="between"/>
        <c:majorUnit val="5000"/>
      </c:valAx>
    </c:plotArea>
    <c:legend>
      <c:legendPos val="b"/>
      <c:layout>
        <c:manualLayout>
          <c:xMode val="edge"/>
          <c:yMode val="edge"/>
          <c:x val="0.21817228346456696"/>
          <c:y val="0.82645583333019601"/>
          <c:w val="0.56365543307086619"/>
          <c:h val="4.850892000657079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Waste generation, excluding major mineral waste, 2010 and 2022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(kg per capita)</a:t>
            </a:r>
          </a:p>
        </c:rich>
      </c:tx>
      <c:layout>
        <c:manualLayout>
          <c:xMode val="edge"/>
          <c:yMode val="edge"/>
          <c:x val="5.3333333333333332E-3"/>
          <c:y val="8.1199203544505081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1997182323700625"/>
          <c:w val="0.97066666666666668"/>
          <c:h val="0.64590082284523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Figure_3!$C$9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</c:spPr>
          <c:invertIfNegative val="0"/>
          <c:cat>
            <c:strRef>
              <c:f>Figure_3!$B$10:$B$51</c:f>
              <c:strCache>
                <c:ptCount val="42"/>
                <c:pt idx="0">
                  <c:v>EU</c:v>
                </c:pt>
                <c:pt idx="2">
                  <c:v>Estonia</c:v>
                </c:pt>
                <c:pt idx="3">
                  <c:v>Bulgaria</c:v>
                </c:pt>
                <c:pt idx="4">
                  <c:v>Belgium</c:v>
                </c:pt>
                <c:pt idx="5">
                  <c:v>Luxembourg</c:v>
                </c:pt>
                <c:pt idx="6">
                  <c:v>Netherlands</c:v>
                </c:pt>
                <c:pt idx="7">
                  <c:v>Sweden</c:v>
                </c:pt>
                <c:pt idx="8">
                  <c:v>Poland</c:v>
                </c:pt>
                <c:pt idx="9">
                  <c:v>Cyprus</c:v>
                </c:pt>
                <c:pt idx="10">
                  <c:v>Austria</c:v>
                </c:pt>
                <c:pt idx="11">
                  <c:v>Italy</c:v>
                </c:pt>
                <c:pt idx="12">
                  <c:v>Finland</c:v>
                </c:pt>
                <c:pt idx="13">
                  <c:v>Germany</c:v>
                </c:pt>
                <c:pt idx="14">
                  <c:v>Denmark</c:v>
                </c:pt>
                <c:pt idx="15">
                  <c:v>Hungary</c:v>
                </c:pt>
                <c:pt idx="16">
                  <c:v>Slovakia</c:v>
                </c:pt>
                <c:pt idx="17">
                  <c:v>Ireland</c:v>
                </c:pt>
                <c:pt idx="18">
                  <c:v>Czechia</c:v>
                </c:pt>
                <c:pt idx="19">
                  <c:v>Lithuania</c:v>
                </c:pt>
                <c:pt idx="20">
                  <c:v>Spain</c:v>
                </c:pt>
                <c:pt idx="21">
                  <c:v>France</c:v>
                </c:pt>
                <c:pt idx="22">
                  <c:v>Portugal</c:v>
                </c:pt>
                <c:pt idx="23">
                  <c:v>Greece(¹)</c:v>
                </c:pt>
                <c:pt idx="24">
                  <c:v>Croatia</c:v>
                </c:pt>
                <c:pt idx="25">
                  <c:v>Slovenia</c:v>
                </c:pt>
                <c:pt idx="26">
                  <c:v>Malta</c:v>
                </c:pt>
                <c:pt idx="27">
                  <c:v>Latvia</c:v>
                </c:pt>
                <c:pt idx="28">
                  <c:v>Romania</c:v>
                </c:pt>
                <c:pt idx="30">
                  <c:v>Norway</c:v>
                </c:pt>
                <c:pt idx="31">
                  <c:v>Iceland (²)</c:v>
                </c:pt>
                <c:pt idx="32">
                  <c:v>Liechtenstein</c:v>
                </c:pt>
                <c:pt idx="34">
                  <c:v>Serbia</c:v>
                </c:pt>
                <c:pt idx="35">
                  <c:v>Montenegro (³)  </c:v>
                </c:pt>
                <c:pt idx="36">
                  <c:v>Türkiye</c:v>
                </c:pt>
                <c:pt idx="37">
                  <c:v>North Macedonia</c:v>
                </c:pt>
                <c:pt idx="39">
                  <c:v>Albania (⁴) </c:v>
                </c:pt>
                <c:pt idx="40">
                  <c:v>Bosnia and Herzegovina (³)  </c:v>
                </c:pt>
                <c:pt idx="41">
                  <c:v>Kosovo (⁵)</c:v>
                </c:pt>
              </c:strCache>
            </c:strRef>
          </c:cat>
          <c:val>
            <c:numRef>
              <c:f>Figure_3!$C$10:$C$51</c:f>
              <c:numCache>
                <c:formatCode>###\ ###\ ##0</c:formatCode>
                <c:ptCount val="42"/>
                <c:pt idx="0">
                  <c:v>1720.1757904630099</c:v>
                </c:pt>
                <c:pt idx="2">
                  <c:v>8612</c:v>
                </c:pt>
                <c:pt idx="3">
                  <c:v>2002</c:v>
                </c:pt>
                <c:pt idx="4">
                  <c:v>3619</c:v>
                </c:pt>
                <c:pt idx="5">
                  <c:v>3008</c:v>
                </c:pt>
                <c:pt idx="6">
                  <c:v>2626</c:v>
                </c:pt>
                <c:pt idx="7">
                  <c:v>1969</c:v>
                </c:pt>
                <c:pt idx="8">
                  <c:v>1754</c:v>
                </c:pt>
                <c:pt idx="9">
                  <c:v>1042</c:v>
                </c:pt>
                <c:pt idx="10">
                  <c:v>1903</c:v>
                </c:pt>
                <c:pt idx="11">
                  <c:v>1674</c:v>
                </c:pt>
                <c:pt idx="12">
                  <c:v>4517</c:v>
                </c:pt>
                <c:pt idx="13">
                  <c:v>1713</c:v>
                </c:pt>
                <c:pt idx="14">
                  <c:v>1915</c:v>
                </c:pt>
                <c:pt idx="15">
                  <c:v>1156</c:v>
                </c:pt>
                <c:pt idx="16">
                  <c:v>1230</c:v>
                </c:pt>
                <c:pt idx="17">
                  <c:v>2704</c:v>
                </c:pt>
                <c:pt idx="18">
                  <c:v>1182</c:v>
                </c:pt>
                <c:pt idx="19">
                  <c:v>983</c:v>
                </c:pt>
                <c:pt idx="20">
                  <c:v>1332</c:v>
                </c:pt>
                <c:pt idx="21">
                  <c:v>1505</c:v>
                </c:pt>
                <c:pt idx="22">
                  <c:v>1087</c:v>
                </c:pt>
                <c:pt idx="23">
                  <c:v>2016</c:v>
                </c:pt>
                <c:pt idx="24">
                  <c:v>716</c:v>
                </c:pt>
                <c:pt idx="25">
                  <c:v>1865</c:v>
                </c:pt>
                <c:pt idx="26">
                  <c:v>919</c:v>
                </c:pt>
                <c:pt idx="27">
                  <c:v>627</c:v>
                </c:pt>
                <c:pt idx="28">
                  <c:v>1168</c:v>
                </c:pt>
                <c:pt idx="30">
                  <c:v>1687.8203455252401</c:v>
                </c:pt>
                <c:pt idx="31">
                  <c:v>1517.1691700126701</c:v>
                </c:pt>
                <c:pt idx="32">
                  <c:v>1835.5727055688101</c:v>
                </c:pt>
                <c:pt idx="34">
                  <c:v>963.37209844535403</c:v>
                </c:pt>
                <c:pt idx="35">
                  <c:v>0</c:v>
                </c:pt>
                <c:pt idx="36">
                  <c:v>0</c:v>
                </c:pt>
                <c:pt idx="37">
                  <c:v>713.55126975483699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9-497C-8243-62A58409C265}"/>
            </c:ext>
          </c:extLst>
        </c:ser>
        <c:ser>
          <c:idx val="1"/>
          <c:order val="1"/>
          <c:tx>
            <c:strRef>
              <c:f>Figure_3!$D$9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</c:spPr>
          <c:invertIfNegative val="0"/>
          <c:cat>
            <c:strRef>
              <c:f>Figure_3!$B$10:$B$51</c:f>
              <c:strCache>
                <c:ptCount val="42"/>
                <c:pt idx="0">
                  <c:v>EU</c:v>
                </c:pt>
                <c:pt idx="2">
                  <c:v>Estonia</c:v>
                </c:pt>
                <c:pt idx="3">
                  <c:v>Bulgaria</c:v>
                </c:pt>
                <c:pt idx="4">
                  <c:v>Belgium</c:v>
                </c:pt>
                <c:pt idx="5">
                  <c:v>Luxembourg</c:v>
                </c:pt>
                <c:pt idx="6">
                  <c:v>Netherlands</c:v>
                </c:pt>
                <c:pt idx="7">
                  <c:v>Sweden</c:v>
                </c:pt>
                <c:pt idx="8">
                  <c:v>Poland</c:v>
                </c:pt>
                <c:pt idx="9">
                  <c:v>Cyprus</c:v>
                </c:pt>
                <c:pt idx="10">
                  <c:v>Austria</c:v>
                </c:pt>
                <c:pt idx="11">
                  <c:v>Italy</c:v>
                </c:pt>
                <c:pt idx="12">
                  <c:v>Finland</c:v>
                </c:pt>
                <c:pt idx="13">
                  <c:v>Germany</c:v>
                </c:pt>
                <c:pt idx="14">
                  <c:v>Denmark</c:v>
                </c:pt>
                <c:pt idx="15">
                  <c:v>Hungary</c:v>
                </c:pt>
                <c:pt idx="16">
                  <c:v>Slovakia</c:v>
                </c:pt>
                <c:pt idx="17">
                  <c:v>Ireland</c:v>
                </c:pt>
                <c:pt idx="18">
                  <c:v>Czechia</c:v>
                </c:pt>
                <c:pt idx="19">
                  <c:v>Lithuania</c:v>
                </c:pt>
                <c:pt idx="20">
                  <c:v>Spain</c:v>
                </c:pt>
                <c:pt idx="21">
                  <c:v>France</c:v>
                </c:pt>
                <c:pt idx="22">
                  <c:v>Portugal</c:v>
                </c:pt>
                <c:pt idx="23">
                  <c:v>Greece(¹)</c:v>
                </c:pt>
                <c:pt idx="24">
                  <c:v>Croatia</c:v>
                </c:pt>
                <c:pt idx="25">
                  <c:v>Slovenia</c:v>
                </c:pt>
                <c:pt idx="26">
                  <c:v>Malta</c:v>
                </c:pt>
                <c:pt idx="27">
                  <c:v>Latvia</c:v>
                </c:pt>
                <c:pt idx="28">
                  <c:v>Romania</c:v>
                </c:pt>
                <c:pt idx="30">
                  <c:v>Norway</c:v>
                </c:pt>
                <c:pt idx="31">
                  <c:v>Iceland (²)</c:v>
                </c:pt>
                <c:pt idx="32">
                  <c:v>Liechtenstein</c:v>
                </c:pt>
                <c:pt idx="34">
                  <c:v>Serbia</c:v>
                </c:pt>
                <c:pt idx="35">
                  <c:v>Montenegro (³)  </c:v>
                </c:pt>
                <c:pt idx="36">
                  <c:v>Türkiye</c:v>
                </c:pt>
                <c:pt idx="37">
                  <c:v>North Macedonia</c:v>
                </c:pt>
                <c:pt idx="39">
                  <c:v>Albania (⁴) </c:v>
                </c:pt>
                <c:pt idx="40">
                  <c:v>Bosnia and Herzegovina (³)  </c:v>
                </c:pt>
                <c:pt idx="41">
                  <c:v>Kosovo (⁵)</c:v>
                </c:pt>
              </c:strCache>
            </c:strRef>
          </c:cat>
          <c:val>
            <c:numRef>
              <c:f>Figure_3!$D$10:$D$51</c:f>
              <c:numCache>
                <c:formatCode>###\ ###\ ##0</c:formatCode>
                <c:ptCount val="42"/>
                <c:pt idx="0">
                  <c:v>1777</c:v>
                </c:pt>
                <c:pt idx="2">
                  <c:v>7491</c:v>
                </c:pt>
                <c:pt idx="3">
                  <c:v>3761</c:v>
                </c:pt>
                <c:pt idx="4">
                  <c:v>2963</c:v>
                </c:pt>
                <c:pt idx="5">
                  <c:v>2655</c:v>
                </c:pt>
                <c:pt idx="6">
                  <c:v>2514</c:v>
                </c:pt>
                <c:pt idx="7">
                  <c:v>2156</c:v>
                </c:pt>
                <c:pt idx="8">
                  <c:v>2094</c:v>
                </c:pt>
                <c:pt idx="9">
                  <c:v>2038</c:v>
                </c:pt>
                <c:pt idx="10">
                  <c:v>1915</c:v>
                </c:pt>
                <c:pt idx="11">
                  <c:v>1883</c:v>
                </c:pt>
                <c:pt idx="12">
                  <c:v>1802</c:v>
                </c:pt>
                <c:pt idx="13">
                  <c:v>1772</c:v>
                </c:pt>
                <c:pt idx="14">
                  <c:v>1611</c:v>
                </c:pt>
                <c:pt idx="15">
                  <c:v>1593</c:v>
                </c:pt>
                <c:pt idx="16">
                  <c:v>1564</c:v>
                </c:pt>
                <c:pt idx="17">
                  <c:v>1529</c:v>
                </c:pt>
                <c:pt idx="18">
                  <c:v>1519</c:v>
                </c:pt>
                <c:pt idx="19">
                  <c:v>1494</c:v>
                </c:pt>
                <c:pt idx="20">
                  <c:v>1474</c:v>
                </c:pt>
                <c:pt idx="21">
                  <c:v>1451</c:v>
                </c:pt>
                <c:pt idx="22">
                  <c:v>1370</c:v>
                </c:pt>
                <c:pt idx="23">
                  <c:v>1349</c:v>
                </c:pt>
                <c:pt idx="24">
                  <c:v>1283</c:v>
                </c:pt>
                <c:pt idx="25">
                  <c:v>1234</c:v>
                </c:pt>
                <c:pt idx="26">
                  <c:v>1125</c:v>
                </c:pt>
                <c:pt idx="27">
                  <c:v>1117</c:v>
                </c:pt>
                <c:pt idx="28">
                  <c:v>1102</c:v>
                </c:pt>
                <c:pt idx="30">
                  <c:v>1618</c:v>
                </c:pt>
                <c:pt idx="31">
                  <c:v>1442</c:v>
                </c:pt>
                <c:pt idx="32">
                  <c:v>889</c:v>
                </c:pt>
                <c:pt idx="34">
                  <c:v>1680</c:v>
                </c:pt>
                <c:pt idx="35">
                  <c:v>1164</c:v>
                </c:pt>
                <c:pt idx="36">
                  <c:v>946</c:v>
                </c:pt>
                <c:pt idx="37">
                  <c:v>712</c:v>
                </c:pt>
                <c:pt idx="39">
                  <c:v>180</c:v>
                </c:pt>
                <c:pt idx="40">
                  <c:v>1642</c:v>
                </c:pt>
                <c:pt idx="41">
                  <c:v>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9-497C-8243-62A58409C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15536528"/>
        <c:axId val="215534960"/>
      </c:barChart>
      <c:catAx>
        <c:axId val="21553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534960"/>
        <c:crosses val="autoZero"/>
        <c:auto val="1"/>
        <c:lblAlgn val="ctr"/>
        <c:lblOffset val="100"/>
        <c:tickMarkSkip val="1"/>
        <c:noMultiLvlLbl val="1"/>
      </c:catAx>
      <c:valAx>
        <c:axId val="215534960"/>
        <c:scaling>
          <c:orientation val="minMax"/>
          <c:max val="100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##\ ###\ ##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/>
                </a:solidFill>
                <a:prstDash val="solid"/>
                <a:round/>
              </a14:hiddenLine>
            </a:ext>
          </a:extLst>
        </c:spPr>
        <c:crossAx val="215536528"/>
        <c:crosses val="autoZero"/>
        <c:crossBetween val="between"/>
        <c:majorUnit val="2000"/>
      </c:valAx>
    </c:plotArea>
    <c:legend>
      <c:legendPos val="b"/>
      <c:layout>
        <c:manualLayout>
          <c:xMode val="edge"/>
          <c:yMode val="edge"/>
          <c:x val="0.43796923884514438"/>
          <c:y val="0.78820242705698118"/>
          <c:w val="0.12406141732283464"/>
          <c:h val="3.912970437895477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2018</a:t>
            </a:r>
          </a:p>
        </c:rich>
      </c:tx>
      <c:layout>
        <c:manualLayout>
          <c:xMode val="edge"/>
          <c:yMode val="edge"/>
          <c:x val="4.186747395068407E-3"/>
          <c:y val="5.8042832185932359E-3"/>
        </c:manualLayout>
      </c:layout>
      <c:overlay val="0"/>
    </c:title>
    <c:autoTitleDeleted val="0"/>
    <c:plotArea>
      <c:layout>
        <c:manualLayout>
          <c:xMode val="edge"/>
          <c:yMode val="edge"/>
          <c:x val="4.186747395068407E-3"/>
          <c:y val="5.8042832185932359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Figure_4!$C$1</c:f>
              <c:numCache>
                <c:formatCode>General</c:formatCode>
                <c:ptCount val="1"/>
              </c:numCache>
            </c:numRef>
          </c:cat>
          <c:val>
            <c:numRef>
              <c:f>Figure_4!$C$2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F00-44E3-ACF4-A7EA9DBC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508456"/>
        <c:axId val="549512720"/>
      </c:barChart>
      <c:catAx>
        <c:axId val="549508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9512720"/>
        <c:crosses val="autoZero"/>
        <c:auto val="1"/>
        <c:lblAlgn val="ctr"/>
        <c:lblOffset val="100"/>
        <c:noMultiLvlLbl val="0"/>
      </c:catAx>
      <c:valAx>
        <c:axId val="5495127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49508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2018</a:t>
            </a:r>
          </a:p>
        </c:rich>
      </c:tx>
      <c:layout>
        <c:manualLayout>
          <c:xMode val="edge"/>
          <c:yMode val="edge"/>
          <c:x val="4.2107077967720114E-3"/>
          <c:y val="7.0632982660680695E-3"/>
        </c:manualLayout>
      </c:layout>
      <c:overlay val="0"/>
    </c:title>
    <c:autoTitleDeleted val="0"/>
    <c:plotArea>
      <c:layout>
        <c:manualLayout>
          <c:xMode val="edge"/>
          <c:yMode val="edge"/>
          <c:x val="4.2107077967720114E-3"/>
          <c:y val="7.0632982660680695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Figure_4!$C$1</c:f>
              <c:numCache>
                <c:formatCode>General</c:formatCode>
                <c:ptCount val="1"/>
              </c:numCache>
            </c:numRef>
          </c:cat>
          <c:val>
            <c:numRef>
              <c:f>Figure_4!$C$2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30F-4CAC-85CC-1D65B94AA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380072"/>
        <c:axId val="721383680"/>
      </c:barChart>
      <c:catAx>
        <c:axId val="721380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1383680"/>
        <c:crosses val="autoZero"/>
        <c:auto val="1"/>
        <c:lblAlgn val="ctr"/>
        <c:lblOffset val="100"/>
        <c:noMultiLvlLbl val="0"/>
      </c:catAx>
      <c:valAx>
        <c:axId val="721383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21380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4.1846966959842562E-3"/>
          <c:y val="6.1157387305750708E-3"/>
        </c:manualLayout>
      </c:layout>
      <c:overlay val="0"/>
    </c:title>
    <c:autoTitleDeleted val="0"/>
    <c:plotArea>
      <c:layout>
        <c:manualLayout>
          <c:xMode val="edge"/>
          <c:yMode val="edge"/>
          <c:x val="4.1846966959842562E-3"/>
          <c:y val="6.1157387305750708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Figure_4!$B$1</c:f>
              <c:numCache>
                <c:formatCode>General</c:formatCode>
                <c:ptCount val="1"/>
              </c:numCache>
            </c:numRef>
          </c:cat>
          <c:val>
            <c:numRef>
              <c:f>Figure_4!$B$2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9C5-4459-A6EF-F1F115BC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51376"/>
        <c:axId val="594246784"/>
      </c:barChart>
      <c:catAx>
        <c:axId val="59425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4246784"/>
        <c:crosses val="autoZero"/>
        <c:auto val="1"/>
        <c:lblAlgn val="ctr"/>
        <c:lblOffset val="100"/>
        <c:noMultiLvlLbl val="0"/>
      </c:catAx>
      <c:valAx>
        <c:axId val="5942467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42513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4.1488879061142604E-3"/>
          <c:y val="6.1157387305750708E-3"/>
        </c:manualLayout>
      </c:layout>
      <c:overlay val="0"/>
    </c:title>
    <c:autoTitleDeleted val="0"/>
    <c:plotArea>
      <c:layout>
        <c:manualLayout>
          <c:xMode val="edge"/>
          <c:yMode val="edge"/>
          <c:x val="4.1488879061142604E-3"/>
          <c:y val="6.1157387305750708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Figure_4!$B$1</c:f>
              <c:numCache>
                <c:formatCode>General</c:formatCode>
                <c:ptCount val="1"/>
              </c:numCache>
            </c:numRef>
          </c:cat>
          <c:val>
            <c:numRef>
              <c:f>Figure_4!$B$2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AAB-4AEB-8ECE-C5B8AB53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06072"/>
        <c:axId val="434304104"/>
      </c:barChart>
      <c:catAx>
        <c:axId val="434306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4304104"/>
        <c:crosses val="autoZero"/>
        <c:auto val="1"/>
        <c:lblAlgn val="ctr"/>
        <c:lblOffset val="100"/>
        <c:noMultiLvlLbl val="0"/>
      </c:catAx>
      <c:valAx>
        <c:axId val="434304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4306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6.273882125117018E-3"/>
          <c:y val="6.0804849085514022E-3"/>
        </c:manualLayout>
      </c:layout>
      <c:overlay val="0"/>
    </c:title>
    <c:autoTitleDeleted val="0"/>
    <c:plotArea>
      <c:layout>
        <c:manualLayout>
          <c:xMode val="edge"/>
          <c:yMode val="edge"/>
          <c:x val="6.273882125117018E-3"/>
          <c:y val="6.0804849085514022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Figure_4!$B$1</c:f>
              <c:numCache>
                <c:formatCode>General</c:formatCode>
                <c:ptCount val="1"/>
              </c:numCache>
            </c:numRef>
          </c:cat>
          <c:val>
            <c:numRef>
              <c:f>Figure_4!$B$2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170-4C19-812B-483C476A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009656"/>
        <c:axId val="486008672"/>
      </c:barChart>
      <c:catAx>
        <c:axId val="486009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6008672"/>
        <c:crosses val="autoZero"/>
        <c:auto val="1"/>
        <c:lblAlgn val="ctr"/>
        <c:lblOffset val="100"/>
        <c:noMultiLvlLbl val="0"/>
      </c:catAx>
      <c:valAx>
        <c:axId val="4860086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60096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6.273882125117018E-3"/>
          <c:y val="5.9756699868597773E-3"/>
        </c:manualLayout>
      </c:layout>
      <c:overlay val="0"/>
    </c:title>
    <c:autoTitleDeleted val="0"/>
    <c:plotArea>
      <c:layout>
        <c:manualLayout>
          <c:xMode val="edge"/>
          <c:yMode val="edge"/>
          <c:x val="6.273882125117018E-3"/>
          <c:y val="5.9756699868597773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Figure_4!$B$1</c:f>
              <c:numCache>
                <c:formatCode>General</c:formatCode>
                <c:ptCount val="1"/>
              </c:numCache>
            </c:numRef>
          </c:cat>
          <c:val>
            <c:numRef>
              <c:f>Figure_4!$B$2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916-4DB8-B937-F3DC4019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496272"/>
        <c:axId val="608494960"/>
      </c:barChart>
      <c:catAx>
        <c:axId val="60849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8494960"/>
        <c:crosses val="autoZero"/>
        <c:auto val="1"/>
        <c:lblAlgn val="ctr"/>
        <c:lblOffset val="100"/>
        <c:noMultiLvlLbl val="0"/>
      </c:catAx>
      <c:valAx>
        <c:axId val="6084949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8496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6.273882125117018E-3"/>
          <c:y val="5.9756699868597773E-3"/>
        </c:manualLayout>
      </c:layout>
      <c:overlay val="0"/>
    </c:title>
    <c:autoTitleDeleted val="0"/>
    <c:plotArea>
      <c:layout>
        <c:manualLayout>
          <c:xMode val="edge"/>
          <c:yMode val="edge"/>
          <c:x val="6.273882125117018E-3"/>
          <c:y val="5.9756699868597773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Figure_4!$A$2</c:f>
              <c:strCache>
                <c:ptCount val="1"/>
              </c:strCache>
            </c:strRef>
          </c:tx>
          <c:invertIfNegative val="0"/>
          <c:cat>
            <c:numRef>
              <c:f>Figure_4!$B$1</c:f>
              <c:numCache>
                <c:formatCode>General</c:formatCode>
                <c:ptCount val="1"/>
              </c:numCache>
            </c:numRef>
          </c:cat>
          <c:val>
            <c:numRef>
              <c:f>Figure_4!$B$2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8CF-4945-A76B-B18645719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6446816"/>
        <c:axId val="746449768"/>
      </c:barChart>
      <c:catAx>
        <c:axId val="746446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6449768"/>
        <c:crosses val="autoZero"/>
        <c:auto val="1"/>
        <c:lblAlgn val="ctr"/>
        <c:lblOffset val="100"/>
        <c:noMultiLvlLbl val="0"/>
      </c:catAx>
      <c:valAx>
        <c:axId val="746449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64468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generated, 2010 and 2022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share of total waste)</a:t>
            </a:r>
          </a:p>
        </c:rich>
      </c:tx>
      <c:layout>
        <c:manualLayout>
          <c:xMode val="edge"/>
          <c:yMode val="edge"/>
          <c:x val="5.3333333333333332E-3"/>
          <c:y val="8.888888888888888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0235695538057746E-2"/>
          <c:y val="0.13290008748906387"/>
          <c:w val="0.19176430446194234"/>
          <c:h val="0.56960927384076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[1]Figure_4!$D$10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[1]Figure_4!$C$11:$C$20</c:f>
              <c:strCache>
                <c:ptCount val="10"/>
                <c:pt idx="0">
                  <c:v>Estonia</c:v>
                </c:pt>
                <c:pt idx="1">
                  <c:v>Bulgaria</c:v>
                </c:pt>
                <c:pt idx="2">
                  <c:v>Finland</c:v>
                </c:pt>
                <c:pt idx="4">
                  <c:v>Norway</c:v>
                </c:pt>
                <c:pt idx="6">
                  <c:v>Serbia</c:v>
                </c:pt>
                <c:pt idx="7">
                  <c:v>North Macedonia</c:v>
                </c:pt>
                <c:pt idx="8">
                  <c:v>Montenegro </c:v>
                </c:pt>
                <c:pt idx="9">
                  <c:v>Türkiye</c:v>
                </c:pt>
              </c:strCache>
            </c:strRef>
          </c:cat>
          <c:val>
            <c:numRef>
              <c:f>[1]Figure_4!$D$11:$D$20</c:f>
              <c:numCache>
                <c:formatCode>General</c:formatCode>
                <c:ptCount val="10"/>
                <c:pt idx="0">
                  <c:v>47.166400134314415</c:v>
                </c:pt>
                <c:pt idx="1">
                  <c:v>8.0966458583174621</c:v>
                </c:pt>
                <c:pt idx="2">
                  <c:v>2.4530304433681707</c:v>
                </c:pt>
                <c:pt idx="4">
                  <c:v>18.690062129776994</c:v>
                </c:pt>
                <c:pt idx="6">
                  <c:v>33.200000000000003</c:v>
                </c:pt>
                <c:pt idx="7">
                  <c:v>0</c:v>
                </c:pt>
                <c:pt idx="8">
                  <c:v>6.4244132342895446</c:v>
                </c:pt>
                <c:pt idx="9">
                  <c:v>5.0767301246522223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1-4120-AACD-FF0BEB73004C}"/>
            </c:ext>
          </c:extLst>
        </c:ser>
        <c:ser>
          <c:idx val="1"/>
          <c:order val="1"/>
          <c:tx>
            <c:strRef>
              <c:f>[1]Figure_4!$E$10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[1]Figure_4!$C$11:$C$20</c:f>
              <c:strCache>
                <c:ptCount val="10"/>
                <c:pt idx="0">
                  <c:v>Estonia</c:v>
                </c:pt>
                <c:pt idx="1">
                  <c:v>Bulgaria</c:v>
                </c:pt>
                <c:pt idx="2">
                  <c:v>Finland</c:v>
                </c:pt>
                <c:pt idx="4">
                  <c:v>Norway</c:v>
                </c:pt>
                <c:pt idx="6">
                  <c:v>Serbia</c:v>
                </c:pt>
                <c:pt idx="7">
                  <c:v>North Macedonia</c:v>
                </c:pt>
                <c:pt idx="8">
                  <c:v>Montenegro </c:v>
                </c:pt>
                <c:pt idx="9">
                  <c:v>Türkiye</c:v>
                </c:pt>
              </c:strCache>
            </c:strRef>
          </c:cat>
          <c:val>
            <c:numRef>
              <c:f>[1]Figure_4!$E$11:$E$20</c:f>
              <c:numCache>
                <c:formatCode>General</c:formatCode>
                <c:ptCount val="10"/>
                <c:pt idx="0">
                  <c:v>6.7449343033983684</c:v>
                </c:pt>
                <c:pt idx="1">
                  <c:v>14.87122680412403</c:v>
                </c:pt>
                <c:pt idx="2">
                  <c:v>26.403789215227093</c:v>
                </c:pt>
                <c:pt idx="4">
                  <c:v>13.545841840787457</c:v>
                </c:pt>
                <c:pt idx="6">
                  <c:v>16.883003363631474</c:v>
                </c:pt>
                <c:pt idx="7">
                  <c:v>21.614077434080301</c:v>
                </c:pt>
                <c:pt idx="8">
                  <c:v>23.271000414112709</c:v>
                </c:pt>
                <c:pt idx="9">
                  <c:v>24.795810532448318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1-4120-AACD-FF0BEB73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15103736"/>
        <c:axId val="215107264"/>
      </c:barChart>
      <c:catAx>
        <c:axId val="215103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10726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15107264"/>
        <c:scaling>
          <c:orientation val="minMax"/>
          <c:max val="48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</c:spPr>
        <c:crossAx val="215103736"/>
        <c:crosses val="autoZero"/>
        <c:crossBetween val="between"/>
        <c:majorUnit val="4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342560610277145E-2"/>
          <c:y val="2.8265014667284236E-2"/>
          <c:w val="0.91914744933612902"/>
          <c:h val="0.5057020220556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[1]Figure_4!$D$10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[1]Figure_4!$C$22:$C$52</c:f>
              <c:strCache>
                <c:ptCount val="31"/>
                <c:pt idx="0">
                  <c:v>EU</c:v>
                </c:pt>
                <c:pt idx="2">
                  <c:v>Romania</c:v>
                </c:pt>
                <c:pt idx="3">
                  <c:v>Slovenia</c:v>
                </c:pt>
                <c:pt idx="4">
                  <c:v>Poland</c:v>
                </c:pt>
                <c:pt idx="5">
                  <c:v>Malta</c:v>
                </c:pt>
                <c:pt idx="6">
                  <c:v>Cyprus</c:v>
                </c:pt>
                <c:pt idx="7">
                  <c:v>Austria</c:v>
                </c:pt>
                <c:pt idx="8">
                  <c:v>Hungary</c:v>
                </c:pt>
                <c:pt idx="9">
                  <c:v>Latvia</c:v>
                </c:pt>
                <c:pt idx="10">
                  <c:v>Greece (¹)</c:v>
                </c:pt>
                <c:pt idx="11">
                  <c:v>Croatia</c:v>
                </c:pt>
                <c:pt idx="12">
                  <c:v>Spain</c:v>
                </c:pt>
                <c:pt idx="13">
                  <c:v>France</c:v>
                </c:pt>
                <c:pt idx="14">
                  <c:v>Belgium</c:v>
                </c:pt>
                <c:pt idx="15">
                  <c:v>Netherlands</c:v>
                </c:pt>
                <c:pt idx="16">
                  <c:v>Slovakia</c:v>
                </c:pt>
                <c:pt idx="17">
                  <c:v>Czechia</c:v>
                </c:pt>
                <c:pt idx="18">
                  <c:v>Portugal</c:v>
                </c:pt>
                <c:pt idx="19">
                  <c:v>Lithuania</c:v>
                </c:pt>
                <c:pt idx="20">
                  <c:v>Ireland  </c:v>
                </c:pt>
                <c:pt idx="21">
                  <c:v>Sweden</c:v>
                </c:pt>
                <c:pt idx="22">
                  <c:v>Luxembourg</c:v>
                </c:pt>
                <c:pt idx="23">
                  <c:v>Italy</c:v>
                </c:pt>
                <c:pt idx="24">
                  <c:v>Germany</c:v>
                </c:pt>
                <c:pt idx="25">
                  <c:v>Denmark</c:v>
                </c:pt>
                <c:pt idx="27">
                  <c:v>Liechtenstein </c:v>
                </c:pt>
                <c:pt idx="28">
                  <c:v>Iceland (²)  </c:v>
                </c:pt>
                <c:pt idx="30">
                  <c:v>Bosnia and Herzegovina (²)</c:v>
                </c:pt>
              </c:strCache>
            </c:strRef>
          </c:cat>
          <c:val>
            <c:numRef>
              <c:f>[1]Figure_4!$D$22:$D$52</c:f>
              <c:numCache>
                <c:formatCode>General</c:formatCode>
                <c:ptCount val="31"/>
                <c:pt idx="0">
                  <c:v>4.1036648741470474</c:v>
                </c:pt>
                <c:pt idx="2">
                  <c:v>0.34537000850471578</c:v>
                </c:pt>
                <c:pt idx="3">
                  <c:v>1.9575329939028812</c:v>
                </c:pt>
                <c:pt idx="4">
                  <c:v>0.94026635509103162</c:v>
                </c:pt>
                <c:pt idx="5">
                  <c:v>1.8580822414733826</c:v>
                </c:pt>
                <c:pt idx="6">
                  <c:v>1.5724791908123485</c:v>
                </c:pt>
                <c:pt idx="7">
                  <c:v>3.1471736102583319</c:v>
                </c:pt>
                <c:pt idx="8">
                  <c:v>3.2302679173391677</c:v>
                </c:pt>
                <c:pt idx="9">
                  <c:v>4.5325056734748363</c:v>
                </c:pt>
                <c:pt idx="10">
                  <c:v>0.41425783661155713</c:v>
                </c:pt>
                <c:pt idx="11">
                  <c:v>2.2976737292537033</c:v>
                </c:pt>
                <c:pt idx="12">
                  <c:v>2.1750842658705931</c:v>
                </c:pt>
                <c:pt idx="13">
                  <c:v>3.2494349286175339</c:v>
                </c:pt>
                <c:pt idx="14">
                  <c:v>7.7711901497157028</c:v>
                </c:pt>
                <c:pt idx="15">
                  <c:v>3.7033816238177399</c:v>
                </c:pt>
                <c:pt idx="16">
                  <c:v>4.4274727326357572</c:v>
                </c:pt>
                <c:pt idx="17">
                  <c:v>5.736547254041092</c:v>
                </c:pt>
                <c:pt idx="18">
                  <c:v>4.9940546532025216</c:v>
                </c:pt>
                <c:pt idx="19">
                  <c:v>1.888140370955592</c:v>
                </c:pt>
                <c:pt idx="20">
                  <c:v>9.956811496363061</c:v>
                </c:pt>
                <c:pt idx="21">
                  <c:v>2.1486302223078657</c:v>
                </c:pt>
                <c:pt idx="22">
                  <c:v>3.6400242149835429</c:v>
                </c:pt>
                <c:pt idx="23">
                  <c:v>5.3858307321994836</c:v>
                </c:pt>
                <c:pt idx="24">
                  <c:v>5.4825268602583836</c:v>
                </c:pt>
                <c:pt idx="25">
                  <c:v>7.5521947083119363</c:v>
                </c:pt>
                <c:pt idx="27">
                  <c:v>2.6760202447306041</c:v>
                </c:pt>
                <c:pt idx="28">
                  <c:v>1.6252365733029839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C-4C18-B0CE-E99241F63F82}"/>
            </c:ext>
          </c:extLst>
        </c:ser>
        <c:ser>
          <c:idx val="1"/>
          <c:order val="1"/>
          <c:tx>
            <c:strRef>
              <c:f>[1]Figure_4!$E$10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[1]Figure_4!$C$22:$C$52</c:f>
              <c:strCache>
                <c:ptCount val="31"/>
                <c:pt idx="0">
                  <c:v>EU</c:v>
                </c:pt>
                <c:pt idx="2">
                  <c:v>Romania</c:v>
                </c:pt>
                <c:pt idx="3">
                  <c:v>Slovenia</c:v>
                </c:pt>
                <c:pt idx="4">
                  <c:v>Poland</c:v>
                </c:pt>
                <c:pt idx="5">
                  <c:v>Malta</c:v>
                </c:pt>
                <c:pt idx="6">
                  <c:v>Cyprus</c:v>
                </c:pt>
                <c:pt idx="7">
                  <c:v>Austria</c:v>
                </c:pt>
                <c:pt idx="8">
                  <c:v>Hungary</c:v>
                </c:pt>
                <c:pt idx="9">
                  <c:v>Latvia</c:v>
                </c:pt>
                <c:pt idx="10">
                  <c:v>Greece (¹)</c:v>
                </c:pt>
                <c:pt idx="11">
                  <c:v>Croatia</c:v>
                </c:pt>
                <c:pt idx="12">
                  <c:v>Spain</c:v>
                </c:pt>
                <c:pt idx="13">
                  <c:v>France</c:v>
                </c:pt>
                <c:pt idx="14">
                  <c:v>Belgium</c:v>
                </c:pt>
                <c:pt idx="15">
                  <c:v>Netherlands</c:v>
                </c:pt>
                <c:pt idx="16">
                  <c:v>Slovakia</c:v>
                </c:pt>
                <c:pt idx="17">
                  <c:v>Czechia</c:v>
                </c:pt>
                <c:pt idx="18">
                  <c:v>Portugal</c:v>
                </c:pt>
                <c:pt idx="19">
                  <c:v>Lithuania</c:v>
                </c:pt>
                <c:pt idx="20">
                  <c:v>Ireland  </c:v>
                </c:pt>
                <c:pt idx="21">
                  <c:v>Sweden</c:v>
                </c:pt>
                <c:pt idx="22">
                  <c:v>Luxembourg</c:v>
                </c:pt>
                <c:pt idx="23">
                  <c:v>Italy</c:v>
                </c:pt>
                <c:pt idx="24">
                  <c:v>Germany</c:v>
                </c:pt>
                <c:pt idx="25">
                  <c:v>Denmark</c:v>
                </c:pt>
                <c:pt idx="27">
                  <c:v>Liechtenstein </c:v>
                </c:pt>
                <c:pt idx="28">
                  <c:v>Iceland (²)  </c:v>
                </c:pt>
                <c:pt idx="30">
                  <c:v>Bosnia and Herzegovina (²)</c:v>
                </c:pt>
              </c:strCache>
            </c:strRef>
          </c:cat>
          <c:val>
            <c:numRef>
              <c:f>[1]Figure_4!$E$22:$E$52</c:f>
              <c:numCache>
                <c:formatCode>General</c:formatCode>
                <c:ptCount val="31"/>
                <c:pt idx="0">
                  <c:v>5.3</c:v>
                </c:pt>
                <c:pt idx="2">
                  <c:v>0.68079368147261199</c:v>
                </c:pt>
                <c:pt idx="3">
                  <c:v>1.1753428796150562</c:v>
                </c:pt>
                <c:pt idx="4">
                  <c:v>1.2953522947660596</c:v>
                </c:pt>
                <c:pt idx="5">
                  <c:v>1.683485100271451</c:v>
                </c:pt>
                <c:pt idx="6">
                  <c:v>1.911187985430838</c:v>
                </c:pt>
                <c:pt idx="7">
                  <c:v>2.017313450374405</c:v>
                </c:pt>
                <c:pt idx="8">
                  <c:v>2.1699684012493377</c:v>
                </c:pt>
                <c:pt idx="9">
                  <c:v>2.3065302695851493</c:v>
                </c:pt>
                <c:pt idx="10">
                  <c:v>2.4865132358125575</c:v>
                </c:pt>
                <c:pt idx="11">
                  <c:v>2.5397763148317112</c:v>
                </c:pt>
                <c:pt idx="12">
                  <c:v>2.9775031020072369</c:v>
                </c:pt>
                <c:pt idx="13">
                  <c:v>3.2976821398107821</c:v>
                </c:pt>
                <c:pt idx="14">
                  <c:v>3.5</c:v>
                </c:pt>
                <c:pt idx="15">
                  <c:v>3.550106530876461</c:v>
                </c:pt>
                <c:pt idx="16">
                  <c:v>3.680011713414387</c:v>
                </c:pt>
                <c:pt idx="17">
                  <c:v>3.9734241275119322</c:v>
                </c:pt>
                <c:pt idx="18">
                  <c:v>4.1820227372050542</c:v>
                </c:pt>
                <c:pt idx="19">
                  <c:v>4.2200650900718246</c:v>
                </c:pt>
                <c:pt idx="20">
                  <c:v>4.3674334566375528</c:v>
                </c:pt>
                <c:pt idx="21">
                  <c:v>4.3751977305983996</c:v>
                </c:pt>
                <c:pt idx="22">
                  <c:v>4.7623498564692595</c:v>
                </c:pt>
                <c:pt idx="23">
                  <c:v>5.320670108822199</c:v>
                </c:pt>
                <c:pt idx="24">
                  <c:v>5.9145771050993146</c:v>
                </c:pt>
                <c:pt idx="25">
                  <c:v>6.686206690420633</c:v>
                </c:pt>
                <c:pt idx="27">
                  <c:v>0.28842860079015276</c:v>
                </c:pt>
                <c:pt idx="28">
                  <c:v>3.907897328973525</c:v>
                </c:pt>
                <c:pt idx="30">
                  <c:v>0.21641498822850716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C-4C18-B0CE-E99241F63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537704"/>
        <c:axId val="215538096"/>
      </c:barChart>
      <c:catAx>
        <c:axId val="21553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538096"/>
        <c:crosses val="autoZero"/>
        <c:auto val="1"/>
        <c:lblAlgn val="ctr"/>
        <c:lblOffset val="100"/>
        <c:tickMarkSkip val="1"/>
        <c:noMultiLvlLbl val="1"/>
      </c:catAx>
      <c:valAx>
        <c:axId val="215538096"/>
        <c:scaling>
          <c:orientation val="minMax"/>
          <c:max val="1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noFill/>
          </a:ln>
        </c:spPr>
        <c:crossAx val="215537704"/>
        <c:crosses val="autoZero"/>
        <c:crossBetween val="between"/>
        <c:majorUnit val="2"/>
      </c:valAx>
      <c:spPr>
        <a:solidFill>
          <a:srgbClr val="FFFFFF"/>
        </a:solidFill>
        <a:ln>
          <a:noFill/>
        </a:ln>
      </c:spPr>
    </c:plotArea>
    <c:legend>
      <c:legendPos val="b"/>
      <c:layout>
        <c:manualLayout>
          <c:xMode val="edge"/>
          <c:yMode val="edge"/>
          <c:x val="0.35998052293326355"/>
          <c:y val="0.67962786227668337"/>
          <c:w val="0.2509554104064089"/>
          <c:h val="6.2181428558067145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61707809221687"/>
          <c:y val="3.7500687080319325E-2"/>
          <c:w val="0.66781477229238395"/>
          <c:h val="0.69853486261215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[1]Figure_4!$D$10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[1]Figure_4!$C$11:$C$20</c:f>
              <c:strCache>
                <c:ptCount val="10"/>
                <c:pt idx="0">
                  <c:v>Estonia</c:v>
                </c:pt>
                <c:pt idx="1">
                  <c:v>Bulgaria</c:v>
                </c:pt>
                <c:pt idx="2">
                  <c:v>Finland</c:v>
                </c:pt>
                <c:pt idx="4">
                  <c:v>Norway</c:v>
                </c:pt>
                <c:pt idx="6">
                  <c:v>Serbia</c:v>
                </c:pt>
                <c:pt idx="7">
                  <c:v>North Macedonia</c:v>
                </c:pt>
                <c:pt idx="8">
                  <c:v>Montenegro </c:v>
                </c:pt>
                <c:pt idx="9">
                  <c:v>Türkiye</c:v>
                </c:pt>
              </c:strCache>
            </c:strRef>
          </c:cat>
          <c:val>
            <c:numRef>
              <c:f>[1]Figure_4!$D$11:$D$20</c:f>
              <c:numCache>
                <c:formatCode>General</c:formatCode>
                <c:ptCount val="10"/>
                <c:pt idx="0">
                  <c:v>47.166400134314415</c:v>
                </c:pt>
                <c:pt idx="1">
                  <c:v>8.0966458583174621</c:v>
                </c:pt>
                <c:pt idx="2">
                  <c:v>2.4530304433681707</c:v>
                </c:pt>
                <c:pt idx="4">
                  <c:v>18.690062129776994</c:v>
                </c:pt>
                <c:pt idx="6">
                  <c:v>33.200000000000003</c:v>
                </c:pt>
                <c:pt idx="7">
                  <c:v>0</c:v>
                </c:pt>
                <c:pt idx="8">
                  <c:v>6.4244132342895446</c:v>
                </c:pt>
                <c:pt idx="9">
                  <c:v>5.0767301246522223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3-47EB-96F4-AC2BBD3C611E}"/>
            </c:ext>
          </c:extLst>
        </c:ser>
        <c:ser>
          <c:idx val="1"/>
          <c:order val="1"/>
          <c:tx>
            <c:strRef>
              <c:f>[1]Figure_4!$E$10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[1]Figure_4!$C$11:$C$20</c:f>
              <c:strCache>
                <c:ptCount val="10"/>
                <c:pt idx="0">
                  <c:v>Estonia</c:v>
                </c:pt>
                <c:pt idx="1">
                  <c:v>Bulgaria</c:v>
                </c:pt>
                <c:pt idx="2">
                  <c:v>Finland</c:v>
                </c:pt>
                <c:pt idx="4">
                  <c:v>Norway</c:v>
                </c:pt>
                <c:pt idx="6">
                  <c:v>Serbia</c:v>
                </c:pt>
                <c:pt idx="7">
                  <c:v>North Macedonia</c:v>
                </c:pt>
                <c:pt idx="8">
                  <c:v>Montenegro </c:v>
                </c:pt>
                <c:pt idx="9">
                  <c:v>Türkiye</c:v>
                </c:pt>
              </c:strCache>
            </c:strRef>
          </c:cat>
          <c:val>
            <c:numRef>
              <c:f>[1]Figure_4!$E$11:$E$20</c:f>
              <c:numCache>
                <c:formatCode>General</c:formatCode>
                <c:ptCount val="10"/>
                <c:pt idx="0">
                  <c:v>6.7449343033983684</c:v>
                </c:pt>
                <c:pt idx="1">
                  <c:v>14.87122680412403</c:v>
                </c:pt>
                <c:pt idx="2">
                  <c:v>26.403789215227093</c:v>
                </c:pt>
                <c:pt idx="4">
                  <c:v>13.545841840787457</c:v>
                </c:pt>
                <c:pt idx="6">
                  <c:v>16.883003363631474</c:v>
                </c:pt>
                <c:pt idx="7">
                  <c:v>21.614077434080301</c:v>
                </c:pt>
                <c:pt idx="8">
                  <c:v>23.271000414112709</c:v>
                </c:pt>
                <c:pt idx="9">
                  <c:v>24.795810532448318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3-47EB-96F4-AC2BBD3C6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103736"/>
        <c:axId val="215107264"/>
      </c:barChart>
      <c:catAx>
        <c:axId val="215103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10726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15107264"/>
        <c:scaling>
          <c:orientation val="minMax"/>
          <c:max val="48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noFill/>
          </a:ln>
        </c:spPr>
        <c:crossAx val="215103736"/>
        <c:crosses val="autoZero"/>
        <c:crossBetween val="between"/>
        <c:majorUnit val="4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Waste treatment, EU, 2004-2022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(Index 2004 = 100)</a:t>
            </a:r>
          </a:p>
        </c:rich>
      </c:tx>
      <c:layout>
        <c:manualLayout>
          <c:xMode val="edge"/>
          <c:yMode val="edge"/>
          <c:x val="5.3333333333333332E-3"/>
          <c:y val="8.6986048157051601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2852188615204374"/>
          <c:w val="0.97066666666666668"/>
          <c:h val="0.69229558749572118"/>
        </c:manualLayout>
      </c:layout>
      <c:lineChart>
        <c:grouping val="standard"/>
        <c:varyColors val="1"/>
        <c:ser>
          <c:idx val="0"/>
          <c:order val="0"/>
          <c:tx>
            <c:strRef>
              <c:f>Figure_5!$B$10</c:f>
              <c:strCache>
                <c:ptCount val="1"/>
                <c:pt idx="0">
                  <c:v>Recovery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cat>
            <c:numRef>
              <c:f>Figure_5!$C$9:$L$9</c:f>
              <c:numCache>
                <c:formatCode>General</c:formatCode>
                <c:ptCount val="10"/>
                <c:pt idx="0">
                  <c:v>2004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2012</c:v>
                </c:pt>
                <c:pt idx="5">
                  <c:v>2014</c:v>
                </c:pt>
                <c:pt idx="6">
                  <c:v>2016</c:v>
                </c:pt>
                <c:pt idx="7">
                  <c:v>2018</c:v>
                </c:pt>
                <c:pt idx="8">
                  <c:v>2020</c:v>
                </c:pt>
                <c:pt idx="9">
                  <c:v>2022</c:v>
                </c:pt>
              </c:numCache>
            </c:numRef>
          </c:cat>
          <c:val>
            <c:numRef>
              <c:f>Figure_5!$C$10:$L$10</c:f>
              <c:numCache>
                <c:formatCode>#,##0.0</c:formatCode>
                <c:ptCount val="10"/>
                <c:pt idx="0">
                  <c:v>100</c:v>
                </c:pt>
                <c:pt idx="1">
                  <c:v>113.99335838303055</c:v>
                </c:pt>
                <c:pt idx="2">
                  <c:v>117.84963287255678</c:v>
                </c:pt>
                <c:pt idx="3">
                  <c:v>118.94584439311937</c:v>
                </c:pt>
                <c:pt idx="4">
                  <c:v>121.63006882921393</c:v>
                </c:pt>
                <c:pt idx="5">
                  <c:v>123.19165316510967</c:v>
                </c:pt>
                <c:pt idx="6" formatCode="0.0">
                  <c:v>126.69746170728624</c:v>
                </c:pt>
                <c:pt idx="7" formatCode="0.0">
                  <c:v>136.5300424006343</c:v>
                </c:pt>
                <c:pt idx="8" formatCode="0.0">
                  <c:v>133.1668546848679</c:v>
                </c:pt>
                <c:pt idx="9" formatCode="0.0">
                  <c:v>140.57821135969297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8-4738-A76A-9F867ADCFC36}"/>
            </c:ext>
          </c:extLst>
        </c:ser>
        <c:ser>
          <c:idx val="1"/>
          <c:order val="1"/>
          <c:tx>
            <c:strRef>
              <c:f>Figure_5!$B$12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5"/>
            <c:spPr>
              <a:solidFill>
                <a:srgbClr val="B09120"/>
              </a:solidFill>
              <a:ln w="28575">
                <a:solidFill>
                  <a:srgbClr val="B09120"/>
                </a:solidFill>
                <a:prstDash val="solid"/>
              </a:ln>
            </c:spPr>
          </c:marker>
          <c:cat>
            <c:numRef>
              <c:f>Figure_5!$C$9:$L$9</c:f>
              <c:numCache>
                <c:formatCode>General</c:formatCode>
                <c:ptCount val="10"/>
                <c:pt idx="0">
                  <c:v>2004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2012</c:v>
                </c:pt>
                <c:pt idx="5">
                  <c:v>2014</c:v>
                </c:pt>
                <c:pt idx="6">
                  <c:v>2016</c:v>
                </c:pt>
                <c:pt idx="7">
                  <c:v>2018</c:v>
                </c:pt>
                <c:pt idx="8">
                  <c:v>2020</c:v>
                </c:pt>
                <c:pt idx="9">
                  <c:v>2022</c:v>
                </c:pt>
              </c:numCache>
            </c:numRef>
          </c:cat>
          <c:val>
            <c:numRef>
              <c:f>Figure_5!$C$12:$L$12</c:f>
              <c:numCache>
                <c:formatCode>#,##0.0</c:formatCode>
                <c:ptCount val="10"/>
                <c:pt idx="0">
                  <c:v>100</c:v>
                </c:pt>
                <c:pt idx="1">
                  <c:v>101.89140748550342</c:v>
                </c:pt>
                <c:pt idx="2">
                  <c:v>102.768581971534</c:v>
                </c:pt>
                <c:pt idx="3">
                  <c:v>107.01370585134423</c:v>
                </c:pt>
                <c:pt idx="4">
                  <c:v>111.32156035846073</c:v>
                </c:pt>
                <c:pt idx="5">
                  <c:v>111.30469161834475</c:v>
                </c:pt>
                <c:pt idx="6" formatCode="0.0">
                  <c:v>110.55086979441222</c:v>
                </c:pt>
                <c:pt idx="7" formatCode="0.0">
                  <c:v>114.5260938323669</c:v>
                </c:pt>
                <c:pt idx="8" formatCode="0.0">
                  <c:v>102.49913380648393</c:v>
                </c:pt>
                <c:pt idx="9" formatCode="0.0">
                  <c:v>105.02741170268845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8-4738-A76A-9F867ADCFC36}"/>
            </c:ext>
          </c:extLst>
        </c:ser>
        <c:ser>
          <c:idx val="2"/>
          <c:order val="2"/>
          <c:tx>
            <c:strRef>
              <c:f>Figure_5!$B$11</c:f>
              <c:strCache>
                <c:ptCount val="1"/>
                <c:pt idx="0">
                  <c:v>Disposal</c:v>
                </c:pt>
              </c:strCache>
            </c:strRef>
          </c:tx>
          <c:spPr>
            <a:ln w="28575" cap="rnd" cmpd="sng" algn="ctr">
              <a:solidFill>
                <a:srgbClr val="E0404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triangle"/>
            <c:size val="5"/>
            <c:spPr>
              <a:solidFill>
                <a:srgbClr val="E04040"/>
              </a:solidFill>
              <a:ln w="28575">
                <a:solidFill>
                  <a:srgbClr val="E04040"/>
                </a:solidFill>
                <a:prstDash val="solid"/>
              </a:ln>
            </c:spPr>
          </c:marker>
          <c:cat>
            <c:numRef>
              <c:f>Figure_5!$C$9:$L$9</c:f>
              <c:numCache>
                <c:formatCode>General</c:formatCode>
                <c:ptCount val="10"/>
                <c:pt idx="0">
                  <c:v>2004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2012</c:v>
                </c:pt>
                <c:pt idx="5">
                  <c:v>2014</c:v>
                </c:pt>
                <c:pt idx="6">
                  <c:v>2016</c:v>
                </c:pt>
                <c:pt idx="7">
                  <c:v>2018</c:v>
                </c:pt>
                <c:pt idx="8">
                  <c:v>2020</c:v>
                </c:pt>
                <c:pt idx="9">
                  <c:v>2022</c:v>
                </c:pt>
              </c:numCache>
            </c:numRef>
          </c:cat>
          <c:val>
            <c:numRef>
              <c:f>Figure_5!$C$11:$L$11</c:f>
              <c:numCache>
                <c:formatCode>#,##0.0</c:formatCode>
                <c:ptCount val="10"/>
                <c:pt idx="0">
                  <c:v>100</c:v>
                </c:pt>
                <c:pt idx="1">
                  <c:v>91.632740518534391</c:v>
                </c:pt>
                <c:pt idx="2">
                  <c:v>89.984806280070899</c:v>
                </c:pt>
                <c:pt idx="3">
                  <c:v>96.897948847809573</c:v>
                </c:pt>
                <c:pt idx="4">
                  <c:v>102.58293238794631</c:v>
                </c:pt>
                <c:pt idx="5">
                  <c:v>101.22815902760192</c:v>
                </c:pt>
                <c:pt idx="6" formatCode="0.0">
                  <c:v>96.863860373609683</c:v>
                </c:pt>
                <c:pt idx="7" formatCode="0.0">
                  <c:v>95.874320665407026</c:v>
                </c:pt>
                <c:pt idx="8" formatCode="0.0">
                  <c:v>76.504020690632473</c:v>
                </c:pt>
                <c:pt idx="9" formatCode="0.0">
                  <c:v>74.893351773574608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8-4738-A76A-9F867ADCF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110008"/>
        <c:axId val="215105696"/>
      </c:lineChart>
      <c:catAx>
        <c:axId val="215110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105696"/>
        <c:crosses val="autoZero"/>
        <c:auto val="1"/>
        <c:lblAlgn val="ctr"/>
        <c:lblOffset val="100"/>
        <c:tickMarkSkip val="1"/>
        <c:noMultiLvlLbl val="1"/>
      </c:catAx>
      <c:valAx>
        <c:axId val="215105696"/>
        <c:scaling>
          <c:orientation val="minMax"/>
          <c:max val="145"/>
          <c:min val="7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/>
                </a:solidFill>
                <a:prstDash val="solid"/>
                <a:round/>
              </a14:hiddenLine>
            </a:ext>
          </a:extLst>
        </c:spPr>
        <c:crossAx val="215110008"/>
        <c:crossesAt val="1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362195275590551"/>
          <c:y val="0.8447386368909543"/>
          <c:w val="0.32756094488188975"/>
          <c:h val="4.19183711280292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Waste treatment by type of recovery and disposal, 2022</a:t>
            </a:r>
          </a:p>
          <a:p>
            <a:pPr algn="l">
              <a:defRPr sz="1800" b="1"/>
            </a:pPr>
            <a:r>
              <a:rPr lang="en-US" sz="1600" b="0"/>
              <a:t>(% of total treatment)</a:t>
            </a:r>
          </a:p>
        </c:rich>
      </c:tx>
      <c:layout>
        <c:manualLayout>
          <c:xMode val="edge"/>
          <c:yMode val="edge"/>
          <c:x val="5.3333333333333332E-3"/>
          <c:y val="7.90703444338446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1682643390100549"/>
          <c:w val="0.97066666666666668"/>
          <c:h val="0.55438631061975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Figure_6!$C$8:$C$9</c:f>
              <c:strCache>
                <c:ptCount val="2"/>
                <c:pt idx="1">
                  <c:v>Recovery - Recycling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Figure_6!$B$10:$B$48</c:f>
              <c:strCache>
                <c:ptCount val="39"/>
                <c:pt idx="0">
                  <c:v>EU</c:v>
                </c:pt>
                <c:pt idx="2">
                  <c:v>Italy</c:v>
                </c:pt>
                <c:pt idx="3">
                  <c:v>Belgium</c:v>
                </c:pt>
                <c:pt idx="4">
                  <c:v>Slovakia</c:v>
                </c:pt>
                <c:pt idx="5">
                  <c:v>Latvia</c:v>
                </c:pt>
                <c:pt idx="6">
                  <c:v>Denmark</c:v>
                </c:pt>
                <c:pt idx="7">
                  <c:v>Croatia</c:v>
                </c:pt>
                <c:pt idx="8">
                  <c:v>Cyprus</c:v>
                </c:pt>
                <c:pt idx="9">
                  <c:v>Malta</c:v>
                </c:pt>
                <c:pt idx="10">
                  <c:v>Czechia</c:v>
                </c:pt>
                <c:pt idx="11">
                  <c:v>Lithuania</c:v>
                </c:pt>
                <c:pt idx="12">
                  <c:v>Netherlands</c:v>
                </c:pt>
                <c:pt idx="13">
                  <c:v>France</c:v>
                </c:pt>
                <c:pt idx="14">
                  <c:v>Spain</c:v>
                </c:pt>
                <c:pt idx="15">
                  <c:v>Estonia</c:v>
                </c:pt>
                <c:pt idx="16">
                  <c:v>Luxembourg</c:v>
                </c:pt>
                <c:pt idx="17">
                  <c:v>Germany</c:v>
                </c:pt>
                <c:pt idx="18">
                  <c:v>Portugal</c:v>
                </c:pt>
                <c:pt idx="19">
                  <c:v>Greece (¹)</c:v>
                </c:pt>
                <c:pt idx="20">
                  <c:v>Austria</c:v>
                </c:pt>
                <c:pt idx="21">
                  <c:v>Poland</c:v>
                </c:pt>
                <c:pt idx="22">
                  <c:v>Hungary</c:v>
                </c:pt>
                <c:pt idx="23">
                  <c:v>Slovenia</c:v>
                </c:pt>
                <c:pt idx="24">
                  <c:v>Sweden</c:v>
                </c:pt>
                <c:pt idx="25">
                  <c:v>Finland</c:v>
                </c:pt>
                <c:pt idx="26">
                  <c:v>Ireland (²) </c:v>
                </c:pt>
                <c:pt idx="27">
                  <c:v>Bulgaria</c:v>
                </c:pt>
                <c:pt idx="28">
                  <c:v>Romania</c:v>
                </c:pt>
                <c:pt idx="30">
                  <c:v>Iceland (²) </c:v>
                </c:pt>
                <c:pt idx="31">
                  <c:v>Norway</c:v>
                </c:pt>
                <c:pt idx="33">
                  <c:v>North Macedonia</c:v>
                </c:pt>
                <c:pt idx="34">
                  <c:v>Türkiye</c:v>
                </c:pt>
                <c:pt idx="35">
                  <c:v>Montenegro</c:v>
                </c:pt>
                <c:pt idx="36">
                  <c:v>Serbia</c:v>
                </c:pt>
                <c:pt idx="37">
                  <c:v>Albania (³)</c:v>
                </c:pt>
                <c:pt idx="38">
                  <c:v>Kosovo  (⁴) </c:v>
                </c:pt>
              </c:strCache>
            </c:strRef>
          </c:cat>
          <c:val>
            <c:numRef>
              <c:f>Figure_6!$C$10:$C$48</c:f>
              <c:numCache>
                <c:formatCode>#,##0.0_i</c:formatCode>
                <c:ptCount val="39"/>
                <c:pt idx="0">
                  <c:v>40.834784703644402</c:v>
                </c:pt>
                <c:pt idx="2">
                  <c:v>85.603009572868601</c:v>
                </c:pt>
                <c:pt idx="3">
                  <c:v>68.324899871026119</c:v>
                </c:pt>
                <c:pt idx="4">
                  <c:v>68.296320859885682</c:v>
                </c:pt>
                <c:pt idx="5">
                  <c:v>66.056105319867243</c:v>
                </c:pt>
                <c:pt idx="6">
                  <c:v>65.049319183791567</c:v>
                </c:pt>
                <c:pt idx="7">
                  <c:v>62.941437781949759</c:v>
                </c:pt>
                <c:pt idx="8">
                  <c:v>62.016359738842638</c:v>
                </c:pt>
                <c:pt idx="9">
                  <c:v>57.726775707866764</c:v>
                </c:pt>
                <c:pt idx="10">
                  <c:v>54.293122638631594</c:v>
                </c:pt>
                <c:pt idx="11">
                  <c:v>52.268209847397209</c:v>
                </c:pt>
                <c:pt idx="12">
                  <c:v>52.133884349239011</c:v>
                </c:pt>
                <c:pt idx="13">
                  <c:v>51.635474809574212</c:v>
                </c:pt>
                <c:pt idx="14">
                  <c:v>48.287472613970657</c:v>
                </c:pt>
                <c:pt idx="15">
                  <c:v>45.903048838708749</c:v>
                </c:pt>
                <c:pt idx="16">
                  <c:v>45.181548419976473</c:v>
                </c:pt>
                <c:pt idx="17">
                  <c:v>44.39618960616626</c:v>
                </c:pt>
                <c:pt idx="18">
                  <c:v>44.332977921592907</c:v>
                </c:pt>
                <c:pt idx="19">
                  <c:v>34.746935814537117</c:v>
                </c:pt>
                <c:pt idx="20">
                  <c:v>34.0141110977642</c:v>
                </c:pt>
                <c:pt idx="21">
                  <c:v>32.630145133220275</c:v>
                </c:pt>
                <c:pt idx="22">
                  <c:v>27.745046963518615</c:v>
                </c:pt>
                <c:pt idx="23">
                  <c:v>26.396177974569024</c:v>
                </c:pt>
                <c:pt idx="24">
                  <c:v>21.721901491053831</c:v>
                </c:pt>
                <c:pt idx="25">
                  <c:v>13.247088936482591</c:v>
                </c:pt>
                <c:pt idx="26">
                  <c:v>9.1567599689840193</c:v>
                </c:pt>
                <c:pt idx="27">
                  <c:v>6.2331747120383882</c:v>
                </c:pt>
                <c:pt idx="28">
                  <c:v>4.5262994594313257</c:v>
                </c:pt>
                <c:pt idx="30">
                  <c:v>58.016810983327126</c:v>
                </c:pt>
                <c:pt idx="31">
                  <c:v>36.328729345952837</c:v>
                </c:pt>
                <c:pt idx="33">
                  <c:v>36.939724976024131</c:v>
                </c:pt>
                <c:pt idx="34">
                  <c:v>31.236658261314204</c:v>
                </c:pt>
                <c:pt idx="35">
                  <c:v>5.6095982627167222</c:v>
                </c:pt>
                <c:pt idx="36">
                  <c:v>3.0002328632634212</c:v>
                </c:pt>
                <c:pt idx="37">
                  <c:v>16.093771118167584</c:v>
                </c:pt>
                <c:pt idx="38">
                  <c:v>8.8148501621911546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7-4B27-B239-3CD5EA9F00B8}"/>
            </c:ext>
          </c:extLst>
        </c:ser>
        <c:ser>
          <c:idx val="1"/>
          <c:order val="1"/>
          <c:tx>
            <c:strRef>
              <c:f>Figure_6!$D$8:$D$9</c:f>
              <c:strCache>
                <c:ptCount val="2"/>
                <c:pt idx="1">
                  <c:v>Recovery - Backfilling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Figure_6!$B$10:$B$48</c:f>
              <c:strCache>
                <c:ptCount val="39"/>
                <c:pt idx="0">
                  <c:v>EU</c:v>
                </c:pt>
                <c:pt idx="2">
                  <c:v>Italy</c:v>
                </c:pt>
                <c:pt idx="3">
                  <c:v>Belgium</c:v>
                </c:pt>
                <c:pt idx="4">
                  <c:v>Slovakia</c:v>
                </c:pt>
                <c:pt idx="5">
                  <c:v>Latvia</c:v>
                </c:pt>
                <c:pt idx="6">
                  <c:v>Denmark</c:v>
                </c:pt>
                <c:pt idx="7">
                  <c:v>Croatia</c:v>
                </c:pt>
                <c:pt idx="8">
                  <c:v>Cyprus</c:v>
                </c:pt>
                <c:pt idx="9">
                  <c:v>Malta</c:v>
                </c:pt>
                <c:pt idx="10">
                  <c:v>Czechia</c:v>
                </c:pt>
                <c:pt idx="11">
                  <c:v>Lithuania</c:v>
                </c:pt>
                <c:pt idx="12">
                  <c:v>Netherlands</c:v>
                </c:pt>
                <c:pt idx="13">
                  <c:v>France</c:v>
                </c:pt>
                <c:pt idx="14">
                  <c:v>Spain</c:v>
                </c:pt>
                <c:pt idx="15">
                  <c:v>Estonia</c:v>
                </c:pt>
                <c:pt idx="16">
                  <c:v>Luxembourg</c:v>
                </c:pt>
                <c:pt idx="17">
                  <c:v>Germany</c:v>
                </c:pt>
                <c:pt idx="18">
                  <c:v>Portugal</c:v>
                </c:pt>
                <c:pt idx="19">
                  <c:v>Greece (¹)</c:v>
                </c:pt>
                <c:pt idx="20">
                  <c:v>Austria</c:v>
                </c:pt>
                <c:pt idx="21">
                  <c:v>Poland</c:v>
                </c:pt>
                <c:pt idx="22">
                  <c:v>Hungary</c:v>
                </c:pt>
                <c:pt idx="23">
                  <c:v>Slovenia</c:v>
                </c:pt>
                <c:pt idx="24">
                  <c:v>Sweden</c:v>
                </c:pt>
                <c:pt idx="25">
                  <c:v>Finland</c:v>
                </c:pt>
                <c:pt idx="26">
                  <c:v>Ireland (²) </c:v>
                </c:pt>
                <c:pt idx="27">
                  <c:v>Bulgaria</c:v>
                </c:pt>
                <c:pt idx="28">
                  <c:v>Romania</c:v>
                </c:pt>
                <c:pt idx="30">
                  <c:v>Iceland (²) </c:v>
                </c:pt>
                <c:pt idx="31">
                  <c:v>Norway</c:v>
                </c:pt>
                <c:pt idx="33">
                  <c:v>North Macedonia</c:v>
                </c:pt>
                <c:pt idx="34">
                  <c:v>Türkiye</c:v>
                </c:pt>
                <c:pt idx="35">
                  <c:v>Montenegro</c:v>
                </c:pt>
                <c:pt idx="36">
                  <c:v>Serbia</c:v>
                </c:pt>
                <c:pt idx="37">
                  <c:v>Albania (³)</c:v>
                </c:pt>
                <c:pt idx="38">
                  <c:v>Kosovo  (⁴) </c:v>
                </c:pt>
              </c:strCache>
            </c:strRef>
          </c:cat>
          <c:val>
            <c:numRef>
              <c:f>Figure_6!$D$10:$D$48</c:f>
              <c:numCache>
                <c:formatCode>#,##0.0_i</c:formatCode>
                <c:ptCount val="39"/>
                <c:pt idx="0">
                  <c:v>14.153495585659289</c:v>
                </c:pt>
                <c:pt idx="2">
                  <c:v>0.27299658626807277</c:v>
                </c:pt>
                <c:pt idx="3">
                  <c:v>13.256427012647725</c:v>
                </c:pt>
                <c:pt idx="4">
                  <c:v>0.54929961899271396</c:v>
                </c:pt>
                <c:pt idx="5">
                  <c:v>2.9509945122928714</c:v>
                </c:pt>
                <c:pt idx="6">
                  <c:v>12.275731938125213</c:v>
                </c:pt>
                <c:pt idx="7">
                  <c:v>1.5049405119774821</c:v>
                </c:pt>
                <c:pt idx="8">
                  <c:v>8.4316800762181892</c:v>
                </c:pt>
                <c:pt idx="9">
                  <c:v>29.756311087294634</c:v>
                </c:pt>
                <c:pt idx="10">
                  <c:v>28.269355775682492</c:v>
                </c:pt>
                <c:pt idx="11">
                  <c:v>3.5280596431739348</c:v>
                </c:pt>
                <c:pt idx="12">
                  <c:v>0</c:v>
                </c:pt>
                <c:pt idx="13">
                  <c:v>19.005756992517313</c:v>
                </c:pt>
                <c:pt idx="14">
                  <c:v>5.2141462991773349</c:v>
                </c:pt>
                <c:pt idx="15">
                  <c:v>16.915825680160545</c:v>
                </c:pt>
                <c:pt idx="16">
                  <c:v>19.66182010109522</c:v>
                </c:pt>
                <c:pt idx="17">
                  <c:v>25.504066895328531</c:v>
                </c:pt>
                <c:pt idx="18">
                  <c:v>18.297812307919852</c:v>
                </c:pt>
                <c:pt idx="19">
                  <c:v>12.184031782207819</c:v>
                </c:pt>
                <c:pt idx="20">
                  <c:v>20.36321377696056</c:v>
                </c:pt>
                <c:pt idx="21">
                  <c:v>38.998791328550588</c:v>
                </c:pt>
                <c:pt idx="22">
                  <c:v>30.410215825621489</c:v>
                </c:pt>
                <c:pt idx="23">
                  <c:v>69.061046105590748</c:v>
                </c:pt>
                <c:pt idx="24">
                  <c:v>1.8736139561456775</c:v>
                </c:pt>
                <c:pt idx="25">
                  <c:v>1.1824387678340098</c:v>
                </c:pt>
                <c:pt idx="26">
                  <c:v>53.366151865608103</c:v>
                </c:pt>
                <c:pt idx="27">
                  <c:v>0</c:v>
                </c:pt>
                <c:pt idx="28">
                  <c:v>0.35706964006638486</c:v>
                </c:pt>
                <c:pt idx="30">
                  <c:v>2.2832743391293326</c:v>
                </c:pt>
                <c:pt idx="31">
                  <c:v>0.92632044489276288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1.0217882370530125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7-4B27-B239-3CD5EA9F00B8}"/>
            </c:ext>
          </c:extLst>
        </c:ser>
        <c:ser>
          <c:idx val="2"/>
          <c:order val="2"/>
          <c:tx>
            <c:strRef>
              <c:f>Figure_6!$E$8:$E$9</c:f>
              <c:strCache>
                <c:ptCount val="2"/>
                <c:pt idx="1">
                  <c:v>Energy recovery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Figure_6!$B$10:$B$48</c:f>
              <c:strCache>
                <c:ptCount val="39"/>
                <c:pt idx="0">
                  <c:v>EU</c:v>
                </c:pt>
                <c:pt idx="2">
                  <c:v>Italy</c:v>
                </c:pt>
                <c:pt idx="3">
                  <c:v>Belgium</c:v>
                </c:pt>
                <c:pt idx="4">
                  <c:v>Slovakia</c:v>
                </c:pt>
                <c:pt idx="5">
                  <c:v>Latvia</c:v>
                </c:pt>
                <c:pt idx="6">
                  <c:v>Denmark</c:v>
                </c:pt>
                <c:pt idx="7">
                  <c:v>Croatia</c:v>
                </c:pt>
                <c:pt idx="8">
                  <c:v>Cyprus</c:v>
                </c:pt>
                <c:pt idx="9">
                  <c:v>Malta</c:v>
                </c:pt>
                <c:pt idx="10">
                  <c:v>Czechia</c:v>
                </c:pt>
                <c:pt idx="11">
                  <c:v>Lithuania</c:v>
                </c:pt>
                <c:pt idx="12">
                  <c:v>Netherlands</c:v>
                </c:pt>
                <c:pt idx="13">
                  <c:v>France</c:v>
                </c:pt>
                <c:pt idx="14">
                  <c:v>Spain</c:v>
                </c:pt>
                <c:pt idx="15">
                  <c:v>Estonia</c:v>
                </c:pt>
                <c:pt idx="16">
                  <c:v>Luxembourg</c:v>
                </c:pt>
                <c:pt idx="17">
                  <c:v>Germany</c:v>
                </c:pt>
                <c:pt idx="18">
                  <c:v>Portugal</c:v>
                </c:pt>
                <c:pt idx="19">
                  <c:v>Greece (¹)</c:v>
                </c:pt>
                <c:pt idx="20">
                  <c:v>Austria</c:v>
                </c:pt>
                <c:pt idx="21">
                  <c:v>Poland</c:v>
                </c:pt>
                <c:pt idx="22">
                  <c:v>Hungary</c:v>
                </c:pt>
                <c:pt idx="23">
                  <c:v>Slovenia</c:v>
                </c:pt>
                <c:pt idx="24">
                  <c:v>Sweden</c:v>
                </c:pt>
                <c:pt idx="25">
                  <c:v>Finland</c:v>
                </c:pt>
                <c:pt idx="26">
                  <c:v>Ireland (²) </c:v>
                </c:pt>
                <c:pt idx="27">
                  <c:v>Bulgaria</c:v>
                </c:pt>
                <c:pt idx="28">
                  <c:v>Romania</c:v>
                </c:pt>
                <c:pt idx="30">
                  <c:v>Iceland (²) </c:v>
                </c:pt>
                <c:pt idx="31">
                  <c:v>Norway</c:v>
                </c:pt>
                <c:pt idx="33">
                  <c:v>North Macedonia</c:v>
                </c:pt>
                <c:pt idx="34">
                  <c:v>Türkiye</c:v>
                </c:pt>
                <c:pt idx="35">
                  <c:v>Montenegro</c:v>
                </c:pt>
                <c:pt idx="36">
                  <c:v>Serbia</c:v>
                </c:pt>
                <c:pt idx="37">
                  <c:v>Albania (³)</c:v>
                </c:pt>
                <c:pt idx="38">
                  <c:v>Kosovo  (⁴) </c:v>
                </c:pt>
              </c:strCache>
            </c:strRef>
          </c:cat>
          <c:val>
            <c:numRef>
              <c:f>Figure_6!$E$10:$E$48</c:f>
              <c:numCache>
                <c:formatCode>#,##0.0_i</c:formatCode>
                <c:ptCount val="39"/>
                <c:pt idx="0">
                  <c:v>6.416478866877136</c:v>
                </c:pt>
                <c:pt idx="2">
                  <c:v>4.9537972590413464</c:v>
                </c:pt>
                <c:pt idx="3">
                  <c:v>10.442454937731394</c:v>
                </c:pt>
                <c:pt idx="4">
                  <c:v>3.9594352190898596</c:v>
                </c:pt>
                <c:pt idx="5">
                  <c:v>11.320103845691975</c:v>
                </c:pt>
                <c:pt idx="6">
                  <c:v>15.765514312819654</c:v>
                </c:pt>
                <c:pt idx="7">
                  <c:v>2.583019726361417</c:v>
                </c:pt>
                <c:pt idx="8">
                  <c:v>9.2249459791552191</c:v>
                </c:pt>
                <c:pt idx="9">
                  <c:v>0</c:v>
                </c:pt>
                <c:pt idx="10">
                  <c:v>3.8911877112276088</c:v>
                </c:pt>
                <c:pt idx="11">
                  <c:v>19.604450399671808</c:v>
                </c:pt>
                <c:pt idx="12">
                  <c:v>7.3977502551559171</c:v>
                </c:pt>
                <c:pt idx="13">
                  <c:v>7.945325192069923</c:v>
                </c:pt>
                <c:pt idx="14">
                  <c:v>3.3999102128616303</c:v>
                </c:pt>
                <c:pt idx="15">
                  <c:v>1.6207737741376733</c:v>
                </c:pt>
                <c:pt idx="16">
                  <c:v>2.9686012395039088</c:v>
                </c:pt>
                <c:pt idx="17">
                  <c:v>11.889249347611349</c:v>
                </c:pt>
                <c:pt idx="18">
                  <c:v>9.3531268140510839</c:v>
                </c:pt>
                <c:pt idx="19">
                  <c:v>3.0198556309978577</c:v>
                </c:pt>
                <c:pt idx="20">
                  <c:v>5.0713705817769119</c:v>
                </c:pt>
                <c:pt idx="21">
                  <c:v>2.760218465403999</c:v>
                </c:pt>
                <c:pt idx="22">
                  <c:v>5.3402799400472691</c:v>
                </c:pt>
                <c:pt idx="23">
                  <c:v>1.1735290712181998</c:v>
                </c:pt>
                <c:pt idx="24">
                  <c:v>5.8960486533546232</c:v>
                </c:pt>
                <c:pt idx="25">
                  <c:v>4.3624890620447401</c:v>
                </c:pt>
                <c:pt idx="26">
                  <c:v>8.3777788885199325</c:v>
                </c:pt>
                <c:pt idx="27">
                  <c:v>0.74369655058244755</c:v>
                </c:pt>
                <c:pt idx="28">
                  <c:v>1.20527949694671</c:v>
                </c:pt>
                <c:pt idx="30">
                  <c:v>3.6463526068753631</c:v>
                </c:pt>
                <c:pt idx="31">
                  <c:v>12.282110468456183</c:v>
                </c:pt>
                <c:pt idx="33">
                  <c:v>0</c:v>
                </c:pt>
                <c:pt idx="34">
                  <c:v>0.8262525148268075</c:v>
                </c:pt>
                <c:pt idx="35">
                  <c:v>0.15235337645590799</c:v>
                </c:pt>
                <c:pt idx="36">
                  <c:v>0.18890283682246203</c:v>
                </c:pt>
                <c:pt idx="37">
                  <c:v>2.0961371122419692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7-4B27-B239-3CD5EA9F00B8}"/>
            </c:ext>
          </c:extLst>
        </c:ser>
        <c:ser>
          <c:idx val="3"/>
          <c:order val="3"/>
          <c:tx>
            <c:strRef>
              <c:f>Figure_6!$F$8:$F$9</c:f>
              <c:strCache>
                <c:ptCount val="2"/>
                <c:pt idx="1">
                  <c:v>Disposal - Landfill and other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Figure_6!$B$10:$B$48</c:f>
              <c:strCache>
                <c:ptCount val="39"/>
                <c:pt idx="0">
                  <c:v>EU</c:v>
                </c:pt>
                <c:pt idx="2">
                  <c:v>Italy</c:v>
                </c:pt>
                <c:pt idx="3">
                  <c:v>Belgium</c:v>
                </c:pt>
                <c:pt idx="4">
                  <c:v>Slovakia</c:v>
                </c:pt>
                <c:pt idx="5">
                  <c:v>Latvia</c:v>
                </c:pt>
                <c:pt idx="6">
                  <c:v>Denmark</c:v>
                </c:pt>
                <c:pt idx="7">
                  <c:v>Croatia</c:v>
                </c:pt>
                <c:pt idx="8">
                  <c:v>Cyprus</c:v>
                </c:pt>
                <c:pt idx="9">
                  <c:v>Malta</c:v>
                </c:pt>
                <c:pt idx="10">
                  <c:v>Czechia</c:v>
                </c:pt>
                <c:pt idx="11">
                  <c:v>Lithuania</c:v>
                </c:pt>
                <c:pt idx="12">
                  <c:v>Netherlands</c:v>
                </c:pt>
                <c:pt idx="13">
                  <c:v>France</c:v>
                </c:pt>
                <c:pt idx="14">
                  <c:v>Spain</c:v>
                </c:pt>
                <c:pt idx="15">
                  <c:v>Estonia</c:v>
                </c:pt>
                <c:pt idx="16">
                  <c:v>Luxembourg</c:v>
                </c:pt>
                <c:pt idx="17">
                  <c:v>Germany</c:v>
                </c:pt>
                <c:pt idx="18">
                  <c:v>Portugal</c:v>
                </c:pt>
                <c:pt idx="19">
                  <c:v>Greece (¹)</c:v>
                </c:pt>
                <c:pt idx="20">
                  <c:v>Austria</c:v>
                </c:pt>
                <c:pt idx="21">
                  <c:v>Poland</c:v>
                </c:pt>
                <c:pt idx="22">
                  <c:v>Hungary</c:v>
                </c:pt>
                <c:pt idx="23">
                  <c:v>Slovenia</c:v>
                </c:pt>
                <c:pt idx="24">
                  <c:v>Sweden</c:v>
                </c:pt>
                <c:pt idx="25">
                  <c:v>Finland</c:v>
                </c:pt>
                <c:pt idx="26">
                  <c:v>Ireland (²) </c:v>
                </c:pt>
                <c:pt idx="27">
                  <c:v>Bulgaria</c:v>
                </c:pt>
                <c:pt idx="28">
                  <c:v>Romania</c:v>
                </c:pt>
                <c:pt idx="30">
                  <c:v>Iceland (²) </c:v>
                </c:pt>
                <c:pt idx="31">
                  <c:v>Norway</c:v>
                </c:pt>
                <c:pt idx="33">
                  <c:v>North Macedonia</c:v>
                </c:pt>
                <c:pt idx="34">
                  <c:v>Türkiye</c:v>
                </c:pt>
                <c:pt idx="35">
                  <c:v>Montenegro</c:v>
                </c:pt>
                <c:pt idx="36">
                  <c:v>Serbia</c:v>
                </c:pt>
                <c:pt idx="37">
                  <c:v>Albania (³)</c:v>
                </c:pt>
                <c:pt idx="38">
                  <c:v>Kosovo  (⁴) </c:v>
                </c:pt>
              </c:strCache>
            </c:strRef>
          </c:cat>
          <c:val>
            <c:numRef>
              <c:f>Figure_6!$F$10:$F$48</c:f>
              <c:numCache>
                <c:formatCode>#,##0.0_i</c:formatCode>
                <c:ptCount val="39"/>
                <c:pt idx="0">
                  <c:v>38.172126663220183</c:v>
                </c:pt>
                <c:pt idx="2">
                  <c:v>8.7507410870877607</c:v>
                </c:pt>
                <c:pt idx="3">
                  <c:v>7.2629025775573206</c:v>
                </c:pt>
                <c:pt idx="4">
                  <c:v>27.107434348531484</c:v>
                </c:pt>
                <c:pt idx="5">
                  <c:v>19.671952367687258</c:v>
                </c:pt>
                <c:pt idx="6">
                  <c:v>6.8883364230287247</c:v>
                </c:pt>
                <c:pt idx="7">
                  <c:v>32.97060197971134</c:v>
                </c:pt>
                <c:pt idx="8">
                  <c:v>20.32701420578395</c:v>
                </c:pt>
                <c:pt idx="9">
                  <c:v>12.299327992395749</c:v>
                </c:pt>
                <c:pt idx="10">
                  <c:v>13.330394687069189</c:v>
                </c:pt>
                <c:pt idx="11">
                  <c:v>24.473104501218213</c:v>
                </c:pt>
                <c:pt idx="12">
                  <c:v>39.591310606466415</c:v>
                </c:pt>
                <c:pt idx="13">
                  <c:v>20.273271684340873</c:v>
                </c:pt>
                <c:pt idx="14">
                  <c:v>42.96996812927096</c:v>
                </c:pt>
                <c:pt idx="15">
                  <c:v>35.560345801068216</c:v>
                </c:pt>
                <c:pt idx="16">
                  <c:v>32.187791999280513</c:v>
                </c:pt>
                <c:pt idx="17">
                  <c:v>17.731581628084307</c:v>
                </c:pt>
                <c:pt idx="18">
                  <c:v>27.809244336188065</c:v>
                </c:pt>
                <c:pt idx="19">
                  <c:v>50.01667022862275</c:v>
                </c:pt>
                <c:pt idx="20">
                  <c:v>40.422916859996093</c:v>
                </c:pt>
                <c:pt idx="21">
                  <c:v>25.38428223656468</c:v>
                </c:pt>
                <c:pt idx="22">
                  <c:v>36.122311244692909</c:v>
                </c:pt>
                <c:pt idx="23">
                  <c:v>3.0462134038316258</c:v>
                </c:pt>
                <c:pt idx="24">
                  <c:v>70.475016009904962</c:v>
                </c:pt>
                <c:pt idx="25">
                  <c:v>81.001593846461233</c:v>
                </c:pt>
                <c:pt idx="26">
                  <c:v>29.031489454884369</c:v>
                </c:pt>
                <c:pt idx="27">
                  <c:v>93.01920410333085</c:v>
                </c:pt>
                <c:pt idx="28">
                  <c:v>93.829095739346187</c:v>
                </c:pt>
                <c:pt idx="30">
                  <c:v>33.761774404398174</c:v>
                </c:pt>
                <c:pt idx="31">
                  <c:v>47.567839977053502</c:v>
                </c:pt>
                <c:pt idx="33">
                  <c:v>62.721901209125178</c:v>
                </c:pt>
                <c:pt idx="34">
                  <c:v>67.655417790801337</c:v>
                </c:pt>
                <c:pt idx="35">
                  <c:v>94.238048360827364</c:v>
                </c:pt>
                <c:pt idx="36">
                  <c:v>95.789076062861099</c:v>
                </c:pt>
                <c:pt idx="37">
                  <c:v>81.487994630195743</c:v>
                </c:pt>
                <c:pt idx="38">
                  <c:v>90.12733752059475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7-4B27-B239-3CD5EA9F00B8}"/>
            </c:ext>
          </c:extLst>
        </c:ser>
        <c:ser>
          <c:idx val="4"/>
          <c:order val="4"/>
          <c:tx>
            <c:strRef>
              <c:f>Figure_6!$G$8:$G$9</c:f>
              <c:strCache>
                <c:ptCount val="2"/>
                <c:pt idx="1">
                  <c:v>Disposal - Incineration without energy recovery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Figure_6!$B$10:$B$48</c:f>
              <c:strCache>
                <c:ptCount val="39"/>
                <c:pt idx="0">
                  <c:v>EU</c:v>
                </c:pt>
                <c:pt idx="2">
                  <c:v>Italy</c:v>
                </c:pt>
                <c:pt idx="3">
                  <c:v>Belgium</c:v>
                </c:pt>
                <c:pt idx="4">
                  <c:v>Slovakia</c:v>
                </c:pt>
                <c:pt idx="5">
                  <c:v>Latvia</c:v>
                </c:pt>
                <c:pt idx="6">
                  <c:v>Denmark</c:v>
                </c:pt>
                <c:pt idx="7">
                  <c:v>Croatia</c:v>
                </c:pt>
                <c:pt idx="8">
                  <c:v>Cyprus</c:v>
                </c:pt>
                <c:pt idx="9">
                  <c:v>Malta</c:v>
                </c:pt>
                <c:pt idx="10">
                  <c:v>Czechia</c:v>
                </c:pt>
                <c:pt idx="11">
                  <c:v>Lithuania</c:v>
                </c:pt>
                <c:pt idx="12">
                  <c:v>Netherlands</c:v>
                </c:pt>
                <c:pt idx="13">
                  <c:v>France</c:v>
                </c:pt>
                <c:pt idx="14">
                  <c:v>Spain</c:v>
                </c:pt>
                <c:pt idx="15">
                  <c:v>Estonia</c:v>
                </c:pt>
                <c:pt idx="16">
                  <c:v>Luxembourg</c:v>
                </c:pt>
                <c:pt idx="17">
                  <c:v>Germany</c:v>
                </c:pt>
                <c:pt idx="18">
                  <c:v>Portugal</c:v>
                </c:pt>
                <c:pt idx="19">
                  <c:v>Greece (¹)</c:v>
                </c:pt>
                <c:pt idx="20">
                  <c:v>Austria</c:v>
                </c:pt>
                <c:pt idx="21">
                  <c:v>Poland</c:v>
                </c:pt>
                <c:pt idx="22">
                  <c:v>Hungary</c:v>
                </c:pt>
                <c:pt idx="23">
                  <c:v>Slovenia</c:v>
                </c:pt>
                <c:pt idx="24">
                  <c:v>Sweden</c:v>
                </c:pt>
                <c:pt idx="25">
                  <c:v>Finland</c:v>
                </c:pt>
                <c:pt idx="26">
                  <c:v>Ireland (²) </c:v>
                </c:pt>
                <c:pt idx="27">
                  <c:v>Bulgaria</c:v>
                </c:pt>
                <c:pt idx="28">
                  <c:v>Romania</c:v>
                </c:pt>
                <c:pt idx="30">
                  <c:v>Iceland (²) </c:v>
                </c:pt>
                <c:pt idx="31">
                  <c:v>Norway</c:v>
                </c:pt>
                <c:pt idx="33">
                  <c:v>North Macedonia</c:v>
                </c:pt>
                <c:pt idx="34">
                  <c:v>Türkiye</c:v>
                </c:pt>
                <c:pt idx="35">
                  <c:v>Montenegro</c:v>
                </c:pt>
                <c:pt idx="36">
                  <c:v>Serbia</c:v>
                </c:pt>
                <c:pt idx="37">
                  <c:v>Albania (³)</c:v>
                </c:pt>
                <c:pt idx="38">
                  <c:v>Kosovo  (⁴) </c:v>
                </c:pt>
              </c:strCache>
            </c:strRef>
          </c:cat>
          <c:val>
            <c:numRef>
              <c:f>Figure_6!$G$10:$G$48</c:f>
              <c:numCache>
                <c:formatCode>#,##0.0_i</c:formatCode>
                <c:ptCount val="39"/>
                <c:pt idx="0">
                  <c:v>0.42311418059898509</c:v>
                </c:pt>
                <c:pt idx="2">
                  <c:v>0.41945549473421029</c:v>
                </c:pt>
                <c:pt idx="3">
                  <c:v>0.71331560103745062</c:v>
                </c:pt>
                <c:pt idx="4">
                  <c:v>8.750996324858025E-2</c:v>
                </c:pt>
                <c:pt idx="5">
                  <c:v>8.4395446065255208E-4</c:v>
                </c:pt>
                <c:pt idx="6">
                  <c:v>2.1098137530625189E-2</c:v>
                </c:pt>
                <c:pt idx="7">
                  <c:v>0</c:v>
                </c:pt>
                <c:pt idx="8">
                  <c:v>0</c:v>
                </c:pt>
                <c:pt idx="9">
                  <c:v>0.2175852124428467</c:v>
                </c:pt>
                <c:pt idx="10">
                  <c:v>0.21593919325566305</c:v>
                </c:pt>
                <c:pt idx="11">
                  <c:v>0.12617560853882351</c:v>
                </c:pt>
                <c:pt idx="12">
                  <c:v>0.87705478913864954</c:v>
                </c:pt>
                <c:pt idx="13">
                  <c:v>1.1401713214976814</c:v>
                </c:pt>
                <c:pt idx="14">
                  <c:v>0.12850274471942214</c:v>
                </c:pt>
                <c:pt idx="15">
                  <c:v>5.910706941907703E-6</c:v>
                </c:pt>
                <c:pt idx="16">
                  <c:v>2.3824014388116425E-4</c:v>
                </c:pt>
                <c:pt idx="17">
                  <c:v>0.47891252280956137</c:v>
                </c:pt>
                <c:pt idx="18">
                  <c:v>0.2068386202480984</c:v>
                </c:pt>
                <c:pt idx="19">
                  <c:v>3.2506543634450144E-2</c:v>
                </c:pt>
                <c:pt idx="20">
                  <c:v>0.12838768350223412</c:v>
                </c:pt>
                <c:pt idx="21">
                  <c:v>0.22656283626045931</c:v>
                </c:pt>
                <c:pt idx="22">
                  <c:v>0.38214602611972159</c:v>
                </c:pt>
                <c:pt idx="23">
                  <c:v>0.32303344479040408</c:v>
                </c:pt>
                <c:pt idx="24">
                  <c:v>3.3419889540911546E-2</c:v>
                </c:pt>
                <c:pt idx="25">
                  <c:v>0.20638938717742228</c:v>
                </c:pt>
                <c:pt idx="26">
                  <c:v>6.7819822003577543E-2</c:v>
                </c:pt>
                <c:pt idx="27">
                  <c:v>3.9246340482981638E-3</c:v>
                </c:pt>
                <c:pt idx="28">
                  <c:v>8.2255664856529104E-2</c:v>
                </c:pt>
                <c:pt idx="30">
                  <c:v>2.2917876662700087</c:v>
                </c:pt>
                <c:pt idx="31">
                  <c:v>2.8949997636447109</c:v>
                </c:pt>
                <c:pt idx="33">
                  <c:v>0.33844246443779763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0.32209713939471252</c:v>
                </c:pt>
                <c:pt idx="38">
                  <c:v>1.0578123172140881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57-4B27-B239-3CD5EA9F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15106088"/>
        <c:axId val="215108440"/>
      </c:barChart>
      <c:catAx>
        <c:axId val="215106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108440"/>
        <c:crosses val="autoZero"/>
        <c:auto val="1"/>
        <c:lblAlgn val="ctr"/>
        <c:lblOffset val="100"/>
        <c:tickMarkSkip val="1"/>
        <c:noMultiLvlLbl val="0"/>
      </c:catAx>
      <c:valAx>
        <c:axId val="215108440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10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89963254593174"/>
          <c:y val="0.69295708924006694"/>
          <c:w val="0.75420073490813644"/>
          <c:h val="0.11134629869071651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treatment, 2022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(million tonnes)</a:t>
            </a:r>
          </a:p>
        </c:rich>
      </c:tx>
      <c:layout>
        <c:manualLayout>
          <c:xMode val="edge"/>
          <c:yMode val="edge"/>
          <c:x val="5.3333333333333332E-3"/>
          <c:y val="9.4785597962781347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4004572099000945"/>
          <c:w val="0.97066666666666668"/>
          <c:h val="0.730370425102211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Figure_7!$B$12:$B$46</c:f>
              <c:strCache>
                <c:ptCount val="35"/>
                <c:pt idx="0">
                  <c:v>Finland</c:v>
                </c:pt>
                <c:pt idx="1">
                  <c:v>Germany</c:v>
                </c:pt>
                <c:pt idx="2">
                  <c:v>Bulgaria</c:v>
                </c:pt>
                <c:pt idx="3">
                  <c:v>France</c:v>
                </c:pt>
                <c:pt idx="4">
                  <c:v>Sweden</c:v>
                </c:pt>
                <c:pt idx="5">
                  <c:v>Netherlands</c:v>
                </c:pt>
                <c:pt idx="6">
                  <c:v>Italy</c:v>
                </c:pt>
                <c:pt idx="7">
                  <c:v>Spain</c:v>
                </c:pt>
                <c:pt idx="8">
                  <c:v>Belgium</c:v>
                </c:pt>
                <c:pt idx="9">
                  <c:v>Poland</c:v>
                </c:pt>
                <c:pt idx="10">
                  <c:v>Estonia</c:v>
                </c:pt>
                <c:pt idx="11">
                  <c:v>Denmark</c:v>
                </c:pt>
                <c:pt idx="12">
                  <c:v>Greece (¹)</c:v>
                </c:pt>
                <c:pt idx="13">
                  <c:v>Czechia</c:v>
                </c:pt>
                <c:pt idx="14">
                  <c:v>Hungary</c:v>
                </c:pt>
                <c:pt idx="15">
                  <c:v>Austria</c:v>
                </c:pt>
                <c:pt idx="16">
                  <c:v>Romania</c:v>
                </c:pt>
                <c:pt idx="17">
                  <c:v>Portugal</c:v>
                </c:pt>
                <c:pt idx="18">
                  <c:v>Slovakia</c:v>
                </c:pt>
                <c:pt idx="19">
                  <c:v>Ireland (²) </c:v>
                </c:pt>
                <c:pt idx="20">
                  <c:v>Lithuania</c:v>
                </c:pt>
                <c:pt idx="21">
                  <c:v>Croatia</c:v>
                </c:pt>
                <c:pt idx="22">
                  <c:v>Slovenia</c:v>
                </c:pt>
                <c:pt idx="23">
                  <c:v>Luxembourg</c:v>
                </c:pt>
                <c:pt idx="24">
                  <c:v>Cyprus</c:v>
                </c:pt>
                <c:pt idx="25">
                  <c:v>Latvia</c:v>
                </c:pt>
                <c:pt idx="26">
                  <c:v>Malta</c:v>
                </c:pt>
                <c:pt idx="28">
                  <c:v>Norway</c:v>
                </c:pt>
                <c:pt idx="29">
                  <c:v>Iceland (²) </c:v>
                </c:pt>
                <c:pt idx="31">
                  <c:v>Türkiye</c:v>
                </c:pt>
                <c:pt idx="32">
                  <c:v>Serbia</c:v>
                </c:pt>
                <c:pt idx="33">
                  <c:v>North Macedonia</c:v>
                </c:pt>
                <c:pt idx="34">
                  <c:v>Montenegro</c:v>
                </c:pt>
              </c:strCache>
            </c:strRef>
          </c:cat>
          <c:val>
            <c:numRef>
              <c:f>Figure_7!$C$12:$C$46</c:f>
              <c:numCache>
                <c:formatCode>0.0</c:formatCode>
                <c:ptCount val="35"/>
                <c:pt idx="0">
                  <c:v>29.334032000000001</c:v>
                </c:pt>
                <c:pt idx="1">
                  <c:v>21.416803199</c:v>
                </c:pt>
                <c:pt idx="2">
                  <c:v>13.664910168</c:v>
                </c:pt>
                <c:pt idx="3">
                  <c:v>7.4992179999999999</c:v>
                </c:pt>
                <c:pt idx="4">
                  <c:v>6.5770036599999999</c:v>
                </c:pt>
                <c:pt idx="5">
                  <c:v>4.5874430000000004</c:v>
                </c:pt>
                <c:pt idx="6">
                  <c:v>4.0503720000000003</c:v>
                </c:pt>
                <c:pt idx="7">
                  <c:v>2.4760844999999998</c:v>
                </c:pt>
                <c:pt idx="8">
                  <c:v>1.8540749999999999</c:v>
                </c:pt>
                <c:pt idx="9">
                  <c:v>1.596539052</c:v>
                </c:pt>
                <c:pt idx="10">
                  <c:v>1.4606583289999999</c:v>
                </c:pt>
                <c:pt idx="11">
                  <c:v>1.26820377</c:v>
                </c:pt>
                <c:pt idx="12">
                  <c:v>0.67391158900000003</c:v>
                </c:pt>
                <c:pt idx="13">
                  <c:v>0.56168929599999995</c:v>
                </c:pt>
                <c:pt idx="14">
                  <c:v>0.52237800000000001</c:v>
                </c:pt>
                <c:pt idx="15">
                  <c:v>0.47981573399999999</c:v>
                </c:pt>
                <c:pt idx="16">
                  <c:v>0.468562115</c:v>
                </c:pt>
                <c:pt idx="17">
                  <c:v>0.44832493000000001</c:v>
                </c:pt>
                <c:pt idx="18">
                  <c:v>0.13930234700000002</c:v>
                </c:pt>
                <c:pt idx="19">
                  <c:v>0.107699356</c:v>
                </c:pt>
                <c:pt idx="20">
                  <c:v>9.7694901000000001E-2</c:v>
                </c:pt>
                <c:pt idx="21">
                  <c:v>9.7547627999999997E-2</c:v>
                </c:pt>
                <c:pt idx="22">
                  <c:v>5.4634207000000004E-2</c:v>
                </c:pt>
                <c:pt idx="23">
                  <c:v>5.4082999999999999E-2</c:v>
                </c:pt>
                <c:pt idx="24">
                  <c:v>4.4164000000000002E-2</c:v>
                </c:pt>
                <c:pt idx="25">
                  <c:v>1.7084528999999998E-2</c:v>
                </c:pt>
                <c:pt idx="26">
                  <c:v>2.4319000000000001E-4</c:v>
                </c:pt>
                <c:pt idx="28">
                  <c:v>1.40073</c:v>
                </c:pt>
                <c:pt idx="29">
                  <c:v>4.1484E-2</c:v>
                </c:pt>
                <c:pt idx="31">
                  <c:v>38.225847000000002</c:v>
                </c:pt>
                <c:pt idx="32">
                  <c:v>11.293866</c:v>
                </c:pt>
                <c:pt idx="33">
                  <c:v>0.41595500000000002</c:v>
                </c:pt>
                <c:pt idx="34">
                  <c:v>0.31850499999999998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5-476E-AF6D-36E6D47F4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15103344"/>
        <c:axId val="215104128"/>
      </c:barChart>
      <c:catAx>
        <c:axId val="21510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104128"/>
        <c:crosses val="autoZero"/>
        <c:auto val="1"/>
        <c:lblAlgn val="ctr"/>
        <c:lblOffset val="100"/>
        <c:tickMarkSkip val="1"/>
        <c:noMultiLvlLbl val="1"/>
      </c:catAx>
      <c:valAx>
        <c:axId val="215104128"/>
        <c:scaling>
          <c:orientation val="minMax"/>
          <c:max val="3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</c:spPr>
        <c:crossAx val="215103344"/>
        <c:crosses val="autoZero"/>
        <c:crossBetween val="between"/>
        <c:majorUnit val="5"/>
      </c:valAx>
    </c:plotArea>
    <c:plotVisOnly val="1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4.0115634990344415E-2"/>
          <c:y val="2.2595356495155674E-2"/>
          <c:w val="0.86651531856705866"/>
          <c:h val="0.684328752678035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Figure_8!$D$6</c:f>
              <c:strCache>
                <c:ptCount val="1"/>
                <c:pt idx="0">
                  <c:v>Recovery - 
recycling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Figure_8!$B$18:$B$47</c15:sqref>
                  </c15:fullRef>
                </c:ext>
              </c:extLst>
              <c:f>Figure_8!$B$18:$B$42</c:f>
              <c:strCache>
                <c:ptCount val="25"/>
                <c:pt idx="1">
                  <c:v>EU</c:v>
                </c:pt>
                <c:pt idx="3">
                  <c:v>Netherlands</c:v>
                </c:pt>
                <c:pt idx="4">
                  <c:v>Germany</c:v>
                </c:pt>
                <c:pt idx="5">
                  <c:v>Denmark</c:v>
                </c:pt>
                <c:pt idx="6">
                  <c:v>Belgium</c:v>
                </c:pt>
                <c:pt idx="7">
                  <c:v>France</c:v>
                </c:pt>
                <c:pt idx="8">
                  <c:v>Luxembourg</c:v>
                </c:pt>
                <c:pt idx="9">
                  <c:v>Italy</c:v>
                </c:pt>
                <c:pt idx="10">
                  <c:v>Greece (¹)</c:v>
                </c:pt>
                <c:pt idx="11">
                  <c:v>Hungary</c:v>
                </c:pt>
                <c:pt idx="12">
                  <c:v>Austria  </c:v>
                </c:pt>
                <c:pt idx="13">
                  <c:v>Czechia</c:v>
                </c:pt>
                <c:pt idx="14">
                  <c:v>Spain</c:v>
                </c:pt>
                <c:pt idx="15">
                  <c:v>Cyprus</c:v>
                </c:pt>
                <c:pt idx="16">
                  <c:v>Poland</c:v>
                </c:pt>
                <c:pt idx="17">
                  <c:v>Portugal</c:v>
                </c:pt>
                <c:pt idx="18">
                  <c:v>Lithuania</c:v>
                </c:pt>
                <c:pt idx="19">
                  <c:v>Slovenia</c:v>
                </c:pt>
                <c:pt idx="20">
                  <c:v>Slovakia</c:v>
                </c:pt>
                <c:pt idx="21">
                  <c:v>Croatia</c:v>
                </c:pt>
                <c:pt idx="22">
                  <c:v>Romania</c:v>
                </c:pt>
                <c:pt idx="23">
                  <c:v>Ireland (²) </c:v>
                </c:pt>
                <c:pt idx="2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Figure_8!$D$18:$D$47</c15:sqref>
                  </c15:fullRef>
                </c:ext>
              </c:extLst>
              <c:f>Figure_8!$D$18:$D$42</c:f>
              <c:numCache>
                <c:formatCode>_(* #,##0_);_(* \(#,##0\);_(* \-??_);_(@_)</c:formatCode>
                <c:ptCount val="25"/>
                <c:pt idx="1">
                  <c:v>60</c:v>
                </c:pt>
                <c:pt idx="3">
                  <c:v>172.20118070289999</c:v>
                </c:pt>
                <c:pt idx="4">
                  <c:v>113.2587099797</c:v>
                </c:pt>
                <c:pt idx="5">
                  <c:v>157.64924343179999</c:v>
                </c:pt>
                <c:pt idx="6">
                  <c:v>35.455270067900003</c:v>
                </c:pt>
                <c:pt idx="7">
                  <c:v>35.532527246199997</c:v>
                </c:pt>
                <c:pt idx="8">
                  <c:v>6.8411873777999999</c:v>
                </c:pt>
                <c:pt idx="9">
                  <c:v>42.780920561999999</c:v>
                </c:pt>
                <c:pt idx="10">
                  <c:v>53.334559114500003</c:v>
                </c:pt>
                <c:pt idx="11">
                  <c:v>20.957082038599999</c:v>
                </c:pt>
                <c:pt idx="12">
                  <c:v>17.269696326599998</c:v>
                </c:pt>
                <c:pt idx="13">
                  <c:v>22.157044740300002</c:v>
                </c:pt>
                <c:pt idx="14">
                  <c:v>34.429969794000002</c:v>
                </c:pt>
                <c:pt idx="15">
                  <c:v>43.766701763900002</c:v>
                </c:pt>
                <c:pt idx="16">
                  <c:v>31.122481308499999</c:v>
                </c:pt>
                <c:pt idx="17">
                  <c:v>13.2742393092</c:v>
                </c:pt>
                <c:pt idx="18">
                  <c:v>21.3307120011</c:v>
                </c:pt>
                <c:pt idx="19">
                  <c:v>10.6844270755</c:v>
                </c:pt>
                <c:pt idx="20">
                  <c:v>12.416359767499999</c:v>
                </c:pt>
                <c:pt idx="21">
                  <c:v>19.422587253</c:v>
                </c:pt>
                <c:pt idx="22">
                  <c:v>15.044653117599999</c:v>
                </c:pt>
                <c:pt idx="23">
                  <c:v>0.67094682230000002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C-4443-942A-876924A6D661}"/>
            </c:ext>
          </c:extLst>
        </c:ser>
        <c:ser>
          <c:idx val="5"/>
          <c:order val="1"/>
          <c:tx>
            <c:strRef>
              <c:f>Figure_8!$E$6</c:f>
              <c:strCache>
                <c:ptCount val="1"/>
                <c:pt idx="0">
                  <c:v>Recovery - 
backfilling 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Figure_8!$B$18:$B$47</c15:sqref>
                  </c15:fullRef>
                </c:ext>
              </c:extLst>
              <c:f>Figure_8!$B$18:$B$42</c:f>
              <c:strCache>
                <c:ptCount val="25"/>
                <c:pt idx="1">
                  <c:v>EU</c:v>
                </c:pt>
                <c:pt idx="3">
                  <c:v>Netherlands</c:v>
                </c:pt>
                <c:pt idx="4">
                  <c:v>Germany</c:v>
                </c:pt>
                <c:pt idx="5">
                  <c:v>Denmark</c:v>
                </c:pt>
                <c:pt idx="6">
                  <c:v>Belgium</c:v>
                </c:pt>
                <c:pt idx="7">
                  <c:v>France</c:v>
                </c:pt>
                <c:pt idx="8">
                  <c:v>Luxembourg</c:v>
                </c:pt>
                <c:pt idx="9">
                  <c:v>Italy</c:v>
                </c:pt>
                <c:pt idx="10">
                  <c:v>Greece (¹)</c:v>
                </c:pt>
                <c:pt idx="11">
                  <c:v>Hungary</c:v>
                </c:pt>
                <c:pt idx="12">
                  <c:v>Austria  </c:v>
                </c:pt>
                <c:pt idx="13">
                  <c:v>Czechia</c:v>
                </c:pt>
                <c:pt idx="14">
                  <c:v>Spain</c:v>
                </c:pt>
                <c:pt idx="15">
                  <c:v>Cyprus</c:v>
                </c:pt>
                <c:pt idx="16">
                  <c:v>Poland</c:v>
                </c:pt>
                <c:pt idx="17">
                  <c:v>Portugal</c:v>
                </c:pt>
                <c:pt idx="18">
                  <c:v>Lithuania</c:v>
                </c:pt>
                <c:pt idx="19">
                  <c:v>Slovenia</c:v>
                </c:pt>
                <c:pt idx="20">
                  <c:v>Slovakia</c:v>
                </c:pt>
                <c:pt idx="21">
                  <c:v>Croatia</c:v>
                </c:pt>
                <c:pt idx="22">
                  <c:v>Romania</c:v>
                </c:pt>
                <c:pt idx="23">
                  <c:v>Ireland (²) </c:v>
                </c:pt>
                <c:pt idx="2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Figure_8!$E$18:$E$47</c15:sqref>
                  </c15:fullRef>
                </c:ext>
              </c:extLst>
              <c:f>Figure_8!$E$18:$E$42</c:f>
              <c:numCache>
                <c:formatCode>_(* #,##0_);_(* \(#,##0\);_(* \-??_);_(@_)</c:formatCode>
                <c:ptCount val="25"/>
                <c:pt idx="1">
                  <c:v>6.2407453278</c:v>
                </c:pt>
                <c:pt idx="3">
                  <c:v>0</c:v>
                </c:pt>
                <c:pt idx="4">
                  <c:v>29.797968340200001</c:v>
                </c:pt>
                <c:pt idx="5">
                  <c:v>4.2712281830999999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6.402421125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8.3629866232999994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3-44C3-BA51-A8CF831C4B28}"/>
            </c:ext>
          </c:extLst>
        </c:ser>
        <c:ser>
          <c:idx val="1"/>
          <c:order val="2"/>
          <c:tx>
            <c:strRef>
              <c:f>Figure_8!$F$6</c:f>
              <c:strCache>
                <c:ptCount val="1"/>
                <c:pt idx="0">
                  <c:v>Recovery -
energy  recovery</c:v>
                </c:pt>
              </c:strCache>
            </c:strRef>
          </c:tx>
          <c:spPr>
            <a:solidFill>
              <a:srgbClr val="E04040"/>
            </a:solidFill>
            <a:ln>
              <a:solidFill>
                <a:schemeClr val="bg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Figure_8!$B$18:$B$47</c15:sqref>
                  </c15:fullRef>
                </c:ext>
              </c:extLst>
              <c:f>Figure_8!$B$18:$B$42</c:f>
              <c:strCache>
                <c:ptCount val="25"/>
                <c:pt idx="1">
                  <c:v>EU</c:v>
                </c:pt>
                <c:pt idx="3">
                  <c:v>Netherlands</c:v>
                </c:pt>
                <c:pt idx="4">
                  <c:v>Germany</c:v>
                </c:pt>
                <c:pt idx="5">
                  <c:v>Denmark</c:v>
                </c:pt>
                <c:pt idx="6">
                  <c:v>Belgium</c:v>
                </c:pt>
                <c:pt idx="7">
                  <c:v>France</c:v>
                </c:pt>
                <c:pt idx="8">
                  <c:v>Luxembourg</c:v>
                </c:pt>
                <c:pt idx="9">
                  <c:v>Italy</c:v>
                </c:pt>
                <c:pt idx="10">
                  <c:v>Greece (¹)</c:v>
                </c:pt>
                <c:pt idx="11">
                  <c:v>Hungary</c:v>
                </c:pt>
                <c:pt idx="12">
                  <c:v>Austria  </c:v>
                </c:pt>
                <c:pt idx="13">
                  <c:v>Czechia</c:v>
                </c:pt>
                <c:pt idx="14">
                  <c:v>Spain</c:v>
                </c:pt>
                <c:pt idx="15">
                  <c:v>Cyprus</c:v>
                </c:pt>
                <c:pt idx="16">
                  <c:v>Poland</c:v>
                </c:pt>
                <c:pt idx="17">
                  <c:v>Portugal</c:v>
                </c:pt>
                <c:pt idx="18">
                  <c:v>Lithuania</c:v>
                </c:pt>
                <c:pt idx="19">
                  <c:v>Slovenia</c:v>
                </c:pt>
                <c:pt idx="20">
                  <c:v>Slovakia</c:v>
                </c:pt>
                <c:pt idx="21">
                  <c:v>Croatia</c:v>
                </c:pt>
                <c:pt idx="22">
                  <c:v>Romania</c:v>
                </c:pt>
                <c:pt idx="23">
                  <c:v>Ireland (²) </c:v>
                </c:pt>
                <c:pt idx="2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Figure_8!$F$18:$F$47</c15:sqref>
                  </c15:fullRef>
                </c:ext>
              </c:extLst>
              <c:f>Figure_8!$F$18:$F$42</c:f>
              <c:numCache>
                <c:formatCode>_(* #,##0_);_(* \(#,##0\);_(* \-??_);_(@_)</c:formatCode>
                <c:ptCount val="25"/>
                <c:pt idx="1">
                  <c:v>14.2551899736</c:v>
                </c:pt>
                <c:pt idx="3">
                  <c:v>20.136566434599999</c:v>
                </c:pt>
                <c:pt idx="4">
                  <c:v>35.521716900500003</c:v>
                </c:pt>
                <c:pt idx="5">
                  <c:v>37.288795072799999</c:v>
                </c:pt>
                <c:pt idx="6">
                  <c:v>29.934222073099999</c:v>
                </c:pt>
                <c:pt idx="7">
                  <c:v>15.784114643900001</c:v>
                </c:pt>
                <c:pt idx="8">
                  <c:v>75.968109165000001</c:v>
                </c:pt>
                <c:pt idx="9">
                  <c:v>2.3192763127</c:v>
                </c:pt>
                <c:pt idx="10">
                  <c:v>2.8642188346999999</c:v>
                </c:pt>
                <c:pt idx="11">
                  <c:v>3.5104392953999999</c:v>
                </c:pt>
                <c:pt idx="12">
                  <c:v>15.9044742056</c:v>
                </c:pt>
                <c:pt idx="13">
                  <c:v>2.6300574074999998</c:v>
                </c:pt>
                <c:pt idx="14">
                  <c:v>2.6207953926999998</c:v>
                </c:pt>
                <c:pt idx="15">
                  <c:v>0.75161361360000001</c:v>
                </c:pt>
                <c:pt idx="16">
                  <c:v>8.8622406299999998E-2</c:v>
                </c:pt>
                <c:pt idx="17">
                  <c:v>4.2369995511000003</c:v>
                </c:pt>
                <c:pt idx="18">
                  <c:v>2.3862335559000001</c:v>
                </c:pt>
                <c:pt idx="19">
                  <c:v>0.73454506369999994</c:v>
                </c:pt>
                <c:pt idx="20">
                  <c:v>0.81805354880000003</c:v>
                </c:pt>
                <c:pt idx="21">
                  <c:v>5.0185230513999999</c:v>
                </c:pt>
                <c:pt idx="22">
                  <c:v>4.3286390709000004</c:v>
                </c:pt>
                <c:pt idx="23">
                  <c:v>7.0019397178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C-4443-942A-876924A6D661}"/>
            </c:ext>
          </c:extLst>
        </c:ser>
        <c:ser>
          <c:idx val="3"/>
          <c:order val="3"/>
          <c:tx>
            <c:strRef>
              <c:f>Figure_8!$H$6</c:f>
              <c:strCache>
                <c:ptCount val="1"/>
                <c:pt idx="0">
                  <c:v>Disposal -
incineration without energy recovery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Figure_8!$B$18:$B$47</c15:sqref>
                  </c15:fullRef>
                </c:ext>
              </c:extLst>
              <c:f>Figure_8!$B$18:$B$42</c:f>
              <c:strCache>
                <c:ptCount val="25"/>
                <c:pt idx="1">
                  <c:v>EU</c:v>
                </c:pt>
                <c:pt idx="3">
                  <c:v>Netherlands</c:v>
                </c:pt>
                <c:pt idx="4">
                  <c:v>Germany</c:v>
                </c:pt>
                <c:pt idx="5">
                  <c:v>Denmark</c:v>
                </c:pt>
                <c:pt idx="6">
                  <c:v>Belgium</c:v>
                </c:pt>
                <c:pt idx="7">
                  <c:v>France</c:v>
                </c:pt>
                <c:pt idx="8">
                  <c:v>Luxembourg</c:v>
                </c:pt>
                <c:pt idx="9">
                  <c:v>Italy</c:v>
                </c:pt>
                <c:pt idx="10">
                  <c:v>Greece (¹)</c:v>
                </c:pt>
                <c:pt idx="11">
                  <c:v>Hungary</c:v>
                </c:pt>
                <c:pt idx="12">
                  <c:v>Austria  </c:v>
                </c:pt>
                <c:pt idx="13">
                  <c:v>Czechia</c:v>
                </c:pt>
                <c:pt idx="14">
                  <c:v>Spain</c:v>
                </c:pt>
                <c:pt idx="15">
                  <c:v>Cyprus</c:v>
                </c:pt>
                <c:pt idx="16">
                  <c:v>Poland</c:v>
                </c:pt>
                <c:pt idx="17">
                  <c:v>Portugal</c:v>
                </c:pt>
                <c:pt idx="18">
                  <c:v>Lithuania</c:v>
                </c:pt>
                <c:pt idx="19">
                  <c:v>Slovenia</c:v>
                </c:pt>
                <c:pt idx="20">
                  <c:v>Slovakia</c:v>
                </c:pt>
                <c:pt idx="21">
                  <c:v>Croatia</c:v>
                </c:pt>
                <c:pt idx="22">
                  <c:v>Romania</c:v>
                </c:pt>
                <c:pt idx="23">
                  <c:v>Ireland (²) </c:v>
                </c:pt>
                <c:pt idx="2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Figure_8!$H$18:$H$47</c15:sqref>
                  </c15:fullRef>
                </c:ext>
              </c:extLst>
              <c:f>Figure_8!$H$18:$H$42</c:f>
              <c:numCache>
                <c:formatCode>_(* #,##0_);_(* \(#,##0\);_(* \-??_);_(@_)</c:formatCode>
                <c:ptCount val="25"/>
                <c:pt idx="1">
                  <c:v>9.1701018959000002</c:v>
                </c:pt>
                <c:pt idx="3">
                  <c:v>15.091987551900001</c:v>
                </c:pt>
                <c:pt idx="4">
                  <c:v>11.253815948</c:v>
                </c:pt>
                <c:pt idx="5">
                  <c:v>0.60376192799999995</c:v>
                </c:pt>
                <c:pt idx="6">
                  <c:v>18.158663243199999</c:v>
                </c:pt>
                <c:pt idx="7">
                  <c:v>23.917162142700001</c:v>
                </c:pt>
                <c:pt idx="8">
                  <c:v>0</c:v>
                </c:pt>
                <c:pt idx="9">
                  <c:v>6.5298094423000004</c:v>
                </c:pt>
                <c:pt idx="10">
                  <c:v>0.38889440349999999</c:v>
                </c:pt>
                <c:pt idx="11">
                  <c:v>7.8898823635999999</c:v>
                </c:pt>
                <c:pt idx="12">
                  <c:v>8.8317522596</c:v>
                </c:pt>
                <c:pt idx="13">
                  <c:v>6.3626478830000002</c:v>
                </c:pt>
                <c:pt idx="14">
                  <c:v>1.609116515</c:v>
                </c:pt>
                <c:pt idx="15">
                  <c:v>0</c:v>
                </c:pt>
                <c:pt idx="16">
                  <c:v>4.8559236009999998</c:v>
                </c:pt>
                <c:pt idx="17">
                  <c:v>2.4828604264999998</c:v>
                </c:pt>
                <c:pt idx="18">
                  <c:v>0.78470949160000003</c:v>
                </c:pt>
                <c:pt idx="19">
                  <c:v>2.6919585279999998</c:v>
                </c:pt>
                <c:pt idx="20">
                  <c:v>1.1201908703000001</c:v>
                </c:pt>
                <c:pt idx="21">
                  <c:v>0</c:v>
                </c:pt>
                <c:pt idx="22">
                  <c:v>1.3981790274000001</c:v>
                </c:pt>
                <c:pt idx="23">
                  <c:v>1.8488967613</c:v>
                </c:pt>
                <c:pt idx="24">
                  <c:v>0.45754462280000002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2C-4443-942A-876924A6D661}"/>
            </c:ext>
          </c:extLst>
        </c:ser>
        <c:ser>
          <c:idx val="2"/>
          <c:order val="4"/>
          <c:tx>
            <c:strRef>
              <c:f>Figure_8!$G$6</c:f>
              <c:strCache>
                <c:ptCount val="1"/>
                <c:pt idx="0">
                  <c:v>Disposal -
landfill and other</c:v>
                </c:pt>
              </c:strCache>
            </c:strRef>
          </c:tx>
          <c:spPr>
            <a:solidFill>
              <a:srgbClr val="388AE2"/>
            </a:solidFill>
            <a:ln>
              <a:solidFill>
                <a:schemeClr val="bg2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388AE2"/>
              </a:solidFill>
              <a:ln>
                <a:solidFill>
                  <a:srgbClr val="388AE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B729-4B7E-842D-263B499AB89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Figure_8!$B$18:$B$47</c15:sqref>
                  </c15:fullRef>
                </c:ext>
              </c:extLst>
              <c:f>Figure_8!$B$18:$B$42</c:f>
              <c:strCache>
                <c:ptCount val="25"/>
                <c:pt idx="1">
                  <c:v>EU</c:v>
                </c:pt>
                <c:pt idx="3">
                  <c:v>Netherlands</c:v>
                </c:pt>
                <c:pt idx="4">
                  <c:v>Germany</c:v>
                </c:pt>
                <c:pt idx="5">
                  <c:v>Denmark</c:v>
                </c:pt>
                <c:pt idx="6">
                  <c:v>Belgium</c:v>
                </c:pt>
                <c:pt idx="7">
                  <c:v>France</c:v>
                </c:pt>
                <c:pt idx="8">
                  <c:v>Luxembourg</c:v>
                </c:pt>
                <c:pt idx="9">
                  <c:v>Italy</c:v>
                </c:pt>
                <c:pt idx="10">
                  <c:v>Greece (¹)</c:v>
                </c:pt>
                <c:pt idx="11">
                  <c:v>Hungary</c:v>
                </c:pt>
                <c:pt idx="12">
                  <c:v>Austria  </c:v>
                </c:pt>
                <c:pt idx="13">
                  <c:v>Czechia</c:v>
                </c:pt>
                <c:pt idx="14">
                  <c:v>Spain</c:v>
                </c:pt>
                <c:pt idx="15">
                  <c:v>Cyprus</c:v>
                </c:pt>
                <c:pt idx="16">
                  <c:v>Poland</c:v>
                </c:pt>
                <c:pt idx="17">
                  <c:v>Portugal</c:v>
                </c:pt>
                <c:pt idx="18">
                  <c:v>Lithuania</c:v>
                </c:pt>
                <c:pt idx="19">
                  <c:v>Slovenia</c:v>
                </c:pt>
                <c:pt idx="20">
                  <c:v>Slovakia</c:v>
                </c:pt>
                <c:pt idx="21">
                  <c:v>Croatia</c:v>
                </c:pt>
                <c:pt idx="22">
                  <c:v>Romania</c:v>
                </c:pt>
                <c:pt idx="23">
                  <c:v>Ireland (²) </c:v>
                </c:pt>
                <c:pt idx="2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Figure_8!$G$18:$G$47</c15:sqref>
                  </c15:fullRef>
                </c:ext>
              </c:extLst>
              <c:f>Figure_8!$G$18:$G$42</c:f>
              <c:numCache>
                <c:formatCode>_(* #,##0_);_(* \(#,##0\);_(* \-??_);_(@_)</c:formatCode>
                <c:ptCount val="25"/>
                <c:pt idx="1">
                  <c:v>132</c:v>
                </c:pt>
                <c:pt idx="3">
                  <c:v>51.733457499700002</c:v>
                </c:pt>
                <c:pt idx="4">
                  <c:v>65.744378161399993</c:v>
                </c:pt>
                <c:pt idx="5">
                  <c:v>15.0261753399</c:v>
                </c:pt>
                <c:pt idx="6">
                  <c:v>75.188288566699995</c:v>
                </c:pt>
                <c:pt idx="7">
                  <c:v>34.943472795799998</c:v>
                </c:pt>
                <c:pt idx="8">
                  <c:v>0</c:v>
                </c:pt>
                <c:pt idx="9">
                  <c:v>17.0044677956</c:v>
                </c:pt>
                <c:pt idx="10">
                  <c:v>7.9825306064000001</c:v>
                </c:pt>
                <c:pt idx="11">
                  <c:v>21.806592587600001</c:v>
                </c:pt>
                <c:pt idx="12">
                  <c:v>11.060173409200001</c:v>
                </c:pt>
                <c:pt idx="13">
                  <c:v>21.481723590400001</c:v>
                </c:pt>
                <c:pt idx="14">
                  <c:v>13.185381298999999</c:v>
                </c:pt>
                <c:pt idx="15">
                  <c:v>3.8698240282</c:v>
                </c:pt>
                <c:pt idx="16">
                  <c:v>7.2915608923999997</c:v>
                </c:pt>
                <c:pt idx="17">
                  <c:v>22.972228600699999</c:v>
                </c:pt>
                <c:pt idx="18">
                  <c:v>9.9995299541999998</c:v>
                </c:pt>
                <c:pt idx="19">
                  <c:v>5.3541865917999996</c:v>
                </c:pt>
                <c:pt idx="20">
                  <c:v>11.2913288383</c:v>
                </c:pt>
                <c:pt idx="21">
                  <c:v>0.85257532540000003</c:v>
                </c:pt>
                <c:pt idx="22">
                  <c:v>3.8268996166</c:v>
                </c:pt>
                <c:pt idx="23">
                  <c:v>2.9641674893999999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C-4443-942A-876924A6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106480"/>
        <c:axId val="215106872"/>
      </c:barChart>
      <c:catAx>
        <c:axId val="21510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 anchor="ctr" anchorCtr="0"/>
          <a:lstStyle/>
          <a:p>
            <a:pPr>
              <a:defRPr/>
            </a:pPr>
            <a:endParaRPr lang="en-US"/>
          </a:p>
        </c:txPr>
        <c:crossAx val="215106872"/>
        <c:crosses val="autoZero"/>
        <c:auto val="0"/>
        <c:lblAlgn val="ctr"/>
        <c:lblOffset val="100"/>
        <c:tickMarkSkip val="1"/>
        <c:noMultiLvlLbl val="1"/>
      </c:catAx>
      <c:valAx>
        <c:axId val="215106872"/>
        <c:scaling>
          <c:orientation val="minMax"/>
          <c:max val="35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215106480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b"/>
      <c:layout>
        <c:manualLayout>
          <c:xMode val="edge"/>
          <c:yMode val="edge"/>
          <c:x val="0"/>
          <c:y val="0.81061142216526672"/>
          <c:w val="0.90584395311977506"/>
          <c:h val="0.15938803507560795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7479633698611305"/>
          <c:y val="1.5488687423139975E-2"/>
          <c:w val="0.66524847094612816"/>
          <c:h val="0.816357359163697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Figure_8!$D$6</c:f>
              <c:strCache>
                <c:ptCount val="1"/>
                <c:pt idx="0">
                  <c:v>Recovery - 
recycling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Figure_8!$B$8:$B$18</c:f>
              <c:strCache>
                <c:ptCount val="10"/>
                <c:pt idx="0">
                  <c:v>Finland</c:v>
                </c:pt>
                <c:pt idx="1">
                  <c:v>Bulgaria</c:v>
                </c:pt>
                <c:pt idx="2">
                  <c:v>Estonia</c:v>
                </c:pt>
                <c:pt idx="3">
                  <c:v>Sweden</c:v>
                </c:pt>
                <c:pt idx="5">
                  <c:v>Norway</c:v>
                </c:pt>
                <c:pt idx="7">
                  <c:v>Serbia</c:v>
                </c:pt>
                <c:pt idx="8">
                  <c:v>Montenegro</c:v>
                </c:pt>
                <c:pt idx="9">
                  <c:v>Türkiye</c:v>
                </c:pt>
              </c:strCache>
            </c:strRef>
          </c:cat>
          <c:val>
            <c:numRef>
              <c:f>Figure_8!$D$8:$D$18</c:f>
              <c:numCache>
                <c:formatCode>_(* #,##0_);_(* \(#,##0\);_(* \-??_);_(@_)</c:formatCode>
                <c:ptCount val="11"/>
                <c:pt idx="0">
                  <c:v>152</c:v>
                </c:pt>
                <c:pt idx="1">
                  <c:v>22.602410480100001</c:v>
                </c:pt>
                <c:pt idx="2">
                  <c:v>309.49555321610001</c:v>
                </c:pt>
                <c:pt idx="3">
                  <c:v>207.11609610470001</c:v>
                </c:pt>
                <c:pt idx="5">
                  <c:v>53.553454042799999</c:v>
                </c:pt>
                <c:pt idx="7">
                  <c:v>5.1548557251</c:v>
                </c:pt>
                <c:pt idx="8">
                  <c:v>37.620566795599998</c:v>
                </c:pt>
                <c:pt idx="9">
                  <c:v>20.305225659600001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9-42DD-9F94-1F6EBE056FF3}"/>
            </c:ext>
          </c:extLst>
        </c:ser>
        <c:ser>
          <c:idx val="1"/>
          <c:order val="1"/>
          <c:tx>
            <c:strRef>
              <c:f>Figure_8!$F$6</c:f>
              <c:strCache>
                <c:ptCount val="1"/>
                <c:pt idx="0">
                  <c:v>Recovery -
energy  recovery</c:v>
                </c:pt>
              </c:strCache>
            </c:strRef>
          </c:tx>
          <c:spPr>
            <a:solidFill>
              <a:srgbClr val="E04040"/>
            </a:solidFill>
            <a:ln>
              <a:solidFill>
                <a:schemeClr val="bg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Figure_8!$B$8:$B$18</c:f>
              <c:strCache>
                <c:ptCount val="10"/>
                <c:pt idx="0">
                  <c:v>Finland</c:v>
                </c:pt>
                <c:pt idx="1">
                  <c:v>Bulgaria</c:v>
                </c:pt>
                <c:pt idx="2">
                  <c:v>Estonia</c:v>
                </c:pt>
                <c:pt idx="3">
                  <c:v>Sweden</c:v>
                </c:pt>
                <c:pt idx="5">
                  <c:v>Norway</c:v>
                </c:pt>
                <c:pt idx="7">
                  <c:v>Serbia</c:v>
                </c:pt>
                <c:pt idx="8">
                  <c:v>Montenegro</c:v>
                </c:pt>
                <c:pt idx="9">
                  <c:v>Türkiye</c:v>
                </c:pt>
              </c:strCache>
            </c:strRef>
          </c:cat>
          <c:val>
            <c:numRef>
              <c:f>Figure_8!$F$8:$F$18</c:f>
              <c:numCache>
                <c:formatCode>_(* #,##0_);_(* \(#,##0\);_(* \-??_);_(@_)</c:formatCode>
                <c:ptCount val="11"/>
                <c:pt idx="0">
                  <c:v>14</c:v>
                </c:pt>
                <c:pt idx="1">
                  <c:v>6.5684961324</c:v>
                </c:pt>
                <c:pt idx="2">
                  <c:v>2.8710625425999998</c:v>
                </c:pt>
                <c:pt idx="3">
                  <c:v>49.860917497300001</c:v>
                </c:pt>
                <c:pt idx="5">
                  <c:v>46.009557776500003</c:v>
                </c:pt>
                <c:pt idx="7">
                  <c:v>0.96715165349999999</c:v>
                </c:pt>
                <c:pt idx="8">
                  <c:v>0</c:v>
                </c:pt>
                <c:pt idx="9">
                  <c:v>7.0722462377999999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9-42DD-9F94-1F6EBE056FF3}"/>
            </c:ext>
          </c:extLst>
        </c:ser>
        <c:ser>
          <c:idx val="2"/>
          <c:order val="2"/>
          <c:tx>
            <c:strRef>
              <c:f>Figure_8!$G$6</c:f>
              <c:strCache>
                <c:ptCount val="1"/>
                <c:pt idx="0">
                  <c:v>Disposal -
landfill and other</c:v>
                </c:pt>
              </c:strCache>
            </c:strRef>
          </c:tx>
          <c:spPr>
            <a:solidFill>
              <a:srgbClr val="388AE2"/>
            </a:solidFill>
            <a:ln>
              <a:solidFill>
                <a:schemeClr val="bg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Figure_8!$B$8:$B$18</c:f>
              <c:strCache>
                <c:ptCount val="10"/>
                <c:pt idx="0">
                  <c:v>Finland</c:v>
                </c:pt>
                <c:pt idx="1">
                  <c:v>Bulgaria</c:v>
                </c:pt>
                <c:pt idx="2">
                  <c:v>Estonia</c:v>
                </c:pt>
                <c:pt idx="3">
                  <c:v>Sweden</c:v>
                </c:pt>
                <c:pt idx="5">
                  <c:v>Norway</c:v>
                </c:pt>
                <c:pt idx="7">
                  <c:v>Serbia</c:v>
                </c:pt>
                <c:pt idx="8">
                  <c:v>Montenegro</c:v>
                </c:pt>
                <c:pt idx="9">
                  <c:v>Türkiye</c:v>
                </c:pt>
              </c:strCache>
            </c:strRef>
          </c:cat>
          <c:val>
            <c:numRef>
              <c:f>Figure_8!$G$8:$G$18</c:f>
              <c:numCache>
                <c:formatCode>_(* #,##0_);_(* \(#,##0\);_(* \-??_);_(@_)</c:formatCode>
                <c:ptCount val="11"/>
                <c:pt idx="0">
                  <c:v>5099</c:v>
                </c:pt>
                <c:pt idx="1">
                  <c:v>2027.5912656073999</c:v>
                </c:pt>
                <c:pt idx="2">
                  <c:v>770.5320912784</c:v>
                </c:pt>
                <c:pt idx="3">
                  <c:v>347.68678778679998</c:v>
                </c:pt>
                <c:pt idx="5">
                  <c:v>160.6678752391</c:v>
                </c:pt>
                <c:pt idx="7">
                  <c:v>4422.9585100856002</c:v>
                </c:pt>
                <c:pt idx="8">
                  <c:v>431.27145817569999</c:v>
                </c:pt>
                <c:pt idx="9">
                  <c:v>379.94216692129999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9-42DD-9F94-1F6EBE056FF3}"/>
            </c:ext>
          </c:extLst>
        </c:ser>
        <c:ser>
          <c:idx val="3"/>
          <c:order val="3"/>
          <c:tx>
            <c:strRef>
              <c:f>Figure_8!$H$6</c:f>
              <c:strCache>
                <c:ptCount val="1"/>
                <c:pt idx="0">
                  <c:v>Disposal -
incineration without energy recovery</c:v>
                </c:pt>
              </c:strCache>
            </c:strRef>
          </c:tx>
          <c:spPr>
            <a:solidFill>
              <a:srgbClr val="C84B96">
                <a:lumMod val="60000"/>
                <a:lumOff val="4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Figure_8!$B$8:$B$18</c:f>
              <c:strCache>
                <c:ptCount val="10"/>
                <c:pt idx="0">
                  <c:v>Finland</c:v>
                </c:pt>
                <c:pt idx="1">
                  <c:v>Bulgaria</c:v>
                </c:pt>
                <c:pt idx="2">
                  <c:v>Estonia</c:v>
                </c:pt>
                <c:pt idx="3">
                  <c:v>Sweden</c:v>
                </c:pt>
                <c:pt idx="5">
                  <c:v>Norway</c:v>
                </c:pt>
                <c:pt idx="7">
                  <c:v>Serbia</c:v>
                </c:pt>
                <c:pt idx="8">
                  <c:v>Montenegro</c:v>
                </c:pt>
                <c:pt idx="9">
                  <c:v>Türkiye</c:v>
                </c:pt>
              </c:strCache>
            </c:strRef>
          </c:cat>
          <c:val>
            <c:numRef>
              <c:f>Figure_8!$H$8:$H$18</c:f>
              <c:numCache>
                <c:formatCode>_(* #,##0_);_(* \(#,##0\);_(* \-??_);_(@_)</c:formatCode>
                <c:ptCount val="11"/>
                <c:pt idx="0">
                  <c:v>14</c:v>
                </c:pt>
                <c:pt idx="1">
                  <c:v>0.17651811049999999</c:v>
                </c:pt>
                <c:pt idx="2">
                  <c:v>9.1634289999999998E-4</c:v>
                </c:pt>
                <c:pt idx="3">
                  <c:v>2.2057957607000001</c:v>
                </c:pt>
                <c:pt idx="5">
                  <c:v>4.9865066361999997</c:v>
                </c:pt>
                <c:pt idx="7">
                  <c:v>0</c:v>
                </c:pt>
                <c:pt idx="8">
                  <c:v>0</c:v>
                </c:pt>
                <c:pt idx="9">
                  <c:v>0.73517785309999995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9-42DD-9F94-1F6EBE05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109616"/>
        <c:axId val="215102560"/>
      </c:barChart>
      <c:catAx>
        <c:axId val="21510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15102560"/>
        <c:crosses val="autoZero"/>
        <c:auto val="1"/>
        <c:lblAlgn val="ctr"/>
        <c:lblOffset val="100"/>
        <c:tickMarkSkip val="1"/>
        <c:noMultiLvlLbl val="1"/>
      </c:catAx>
      <c:valAx>
        <c:axId val="215102560"/>
        <c:scaling>
          <c:orientation val="minMax"/>
          <c:max val="55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  <a:round/>
            </a:ln>
          </c:spPr>
        </c:majorGridlines>
        <c:numFmt formatCode="#\ ##0" sourceLinked="0"/>
        <c:majorTickMark val="out"/>
        <c:minorTickMark val="none"/>
        <c:tickLblPos val="nextTo"/>
        <c:spPr>
          <a:ln w="9360">
            <a:noFill/>
          </a:ln>
        </c:spPr>
        <c:crossAx val="215109616"/>
        <c:crosses val="autoZero"/>
        <c:crossBetween val="between"/>
        <c:majorUnit val="500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treatment, </a:t>
            </a:r>
            <a:r>
              <a:rPr lang="pl-PL"/>
              <a:t>2022</a:t>
            </a:r>
            <a:endParaRPr lang="en-US"/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(kg per capita)</a:t>
            </a:r>
          </a:p>
        </c:rich>
      </c:tx>
      <c:layout>
        <c:manualLayout>
          <c:xMode val="edge"/>
          <c:yMode val="edge"/>
          <c:x val="3.326854916446497E-3"/>
          <c:y val="6.1079515719777355E-3"/>
        </c:manualLayout>
      </c:layout>
      <c:overlay val="0"/>
    </c:title>
    <c:autoTitleDeleted val="0"/>
    <c:plotArea>
      <c:layout>
        <c:manualLayout>
          <c:xMode val="edge"/>
          <c:yMode val="edge"/>
          <c:x val="3.326854916446497E-3"/>
          <c:y val="6.1079515719777355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Figure_8!$A$2</c:f>
              <c:strCache>
                <c:ptCount val="1"/>
              </c:strCache>
            </c:strRef>
          </c:tx>
          <c:invertIfNegative val="0"/>
          <c:cat>
            <c:numRef>
              <c:f>Figure_8!$B$1</c:f>
              <c:numCache>
                <c:formatCode>General</c:formatCode>
                <c:ptCount val="1"/>
              </c:numCache>
            </c:numRef>
          </c:cat>
          <c:val>
            <c:numRef>
              <c:f>Figure_8!$B$2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4D94-AE21-5C0D8869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753232"/>
        <c:axId val="446757168"/>
      </c:barChart>
      <c:catAx>
        <c:axId val="44675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757168"/>
        <c:crosses val="autoZero"/>
        <c:auto val="1"/>
        <c:lblAlgn val="ctr"/>
        <c:lblOffset val="100"/>
        <c:noMultiLvlLbl val="0"/>
      </c:catAx>
      <c:valAx>
        <c:axId val="446757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46753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treatment, 2020</a:t>
            </a:r>
          </a:p>
        </c:rich>
      </c:tx>
      <c:layout>
        <c:manualLayout>
          <c:xMode val="edge"/>
          <c:yMode val="edge"/>
          <c:x val="3.326854916446497E-3"/>
          <c:y val="6.0900380417311254E-3"/>
        </c:manualLayout>
      </c:layout>
      <c:overlay val="0"/>
    </c:title>
    <c:autoTitleDeleted val="0"/>
    <c:plotArea>
      <c:layout>
        <c:manualLayout>
          <c:xMode val="edge"/>
          <c:yMode val="edge"/>
          <c:x val="3.326854916446497E-3"/>
          <c:y val="6.0900380417311254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Figure_8!$A$2</c:f>
              <c:strCache>
                <c:ptCount val="1"/>
              </c:strCache>
            </c:strRef>
          </c:tx>
          <c:invertIfNegative val="0"/>
          <c:cat>
            <c:numRef>
              <c:f>Figure_8!$B$1</c:f>
              <c:numCache>
                <c:formatCode>General</c:formatCode>
                <c:ptCount val="1"/>
              </c:numCache>
            </c:numRef>
          </c:cat>
          <c:val>
            <c:numRef>
              <c:f>Figure_8!$B$2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A-446D-A8C8-9A4236097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614032"/>
        <c:axId val="733612392"/>
      </c:barChart>
      <c:catAx>
        <c:axId val="7336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3612392"/>
        <c:crosses val="autoZero"/>
        <c:auto val="1"/>
        <c:lblAlgn val="ctr"/>
        <c:lblOffset val="100"/>
        <c:noMultiLvlLbl val="0"/>
      </c:catAx>
      <c:valAx>
        <c:axId val="733612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3614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treatment,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(kg per capita)</a:t>
            </a:r>
          </a:p>
        </c:rich>
      </c:tx>
      <c:layout>
        <c:manualLayout>
          <c:xMode val="edge"/>
          <c:yMode val="edge"/>
          <c:x val="3.326854916446497E-3"/>
          <c:y val="6.1079515719777355E-3"/>
        </c:manualLayout>
      </c:layout>
      <c:overlay val="0"/>
    </c:title>
    <c:autoTitleDeleted val="0"/>
    <c:plotArea>
      <c:layout>
        <c:manualLayout>
          <c:xMode val="edge"/>
          <c:yMode val="edge"/>
          <c:x val="3.326854916446497E-3"/>
          <c:y val="6.1079515719777355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Figure_8!$A$2</c:f>
              <c:strCache>
                <c:ptCount val="1"/>
              </c:strCache>
            </c:strRef>
          </c:tx>
          <c:invertIfNegative val="0"/>
          <c:cat>
            <c:numRef>
              <c:f>Figure_8!$B$1</c:f>
              <c:numCache>
                <c:formatCode>General</c:formatCode>
                <c:ptCount val="1"/>
              </c:numCache>
            </c:numRef>
          </c:cat>
          <c:val>
            <c:numRef>
              <c:f>Figure_8!$B$2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2-4194-8486-87D7BB1C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090112"/>
        <c:axId val="586090440"/>
      </c:barChart>
      <c:catAx>
        <c:axId val="586090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090440"/>
        <c:crosses val="autoZero"/>
        <c:auto val="1"/>
        <c:lblAlgn val="ctr"/>
        <c:lblOffset val="100"/>
        <c:noMultiLvlLbl val="0"/>
      </c:catAx>
      <c:valAx>
        <c:axId val="586090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60901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Hazardous waste treatment, 2020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(kg per capita)</a:t>
            </a:r>
          </a:p>
        </c:rich>
      </c:tx>
      <c:layout>
        <c:manualLayout>
          <c:xMode val="edge"/>
          <c:yMode val="edge"/>
          <c:x val="3.6155356149118636E-3"/>
          <c:y val="6.8191744248881619E-3"/>
        </c:manualLayout>
      </c:layout>
      <c:overlay val="0"/>
    </c:title>
    <c:autoTitleDeleted val="0"/>
    <c:plotArea>
      <c:layout>
        <c:manualLayout>
          <c:xMode val="edge"/>
          <c:yMode val="edge"/>
          <c:x val="3.6155356149118636E-3"/>
          <c:y val="6.8191744248881619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Figure_8!$A$2</c:f>
              <c:strCache>
                <c:ptCount val="1"/>
              </c:strCache>
            </c:strRef>
          </c:tx>
          <c:invertIfNegative val="0"/>
          <c:cat>
            <c:numRef>
              <c:f>Figure_8!$B$1</c:f>
              <c:numCache>
                <c:formatCode>General</c:formatCode>
                <c:ptCount val="1"/>
              </c:numCache>
            </c:numRef>
          </c:cat>
          <c:val>
            <c:numRef>
              <c:f>Figure_8!$B$2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C-4F3D-B34B-DE77049EF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916528"/>
        <c:axId val="487916856"/>
      </c:barChart>
      <c:catAx>
        <c:axId val="487916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916856"/>
        <c:crosses val="autoZero"/>
        <c:auto val="1"/>
        <c:lblAlgn val="ctr"/>
        <c:lblOffset val="100"/>
        <c:noMultiLvlLbl val="0"/>
      </c:catAx>
      <c:valAx>
        <c:axId val="487916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7916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image" Target="file:///C:\Program%20Files\DIaLOGIKa\Eurostat%20Layout\Logo\Eurostat%20logo.png" TargetMode="Externa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8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6</xdr:row>
      <xdr:rowOff>109676</xdr:rowOff>
    </xdr:from>
    <xdr:to>
      <xdr:col>14</xdr:col>
      <xdr:colOff>400050</xdr:colOff>
      <xdr:row>38</xdr:row>
      <xdr:rowOff>157048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0.9534</cdr:y>
    </cdr:from>
    <cdr:ext cx="3626200" cy="239808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B084C208-E668-615A-5215-E3487F9BD4E0}"/>
            </a:ext>
          </a:extLst>
        </cdr:cNvPr>
        <cdr:cNvSpPr txBox="1"/>
      </cdr:nvSpPr>
      <cdr:spPr>
        <a:xfrm xmlns:a="http://schemas.openxmlformats.org/drawingml/2006/main">
          <a:off x="0" y="4906613"/>
          <a:ext cx="3626200" cy="239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000" i="1">
              <a:latin typeface="Arial" panose="020B0604020202020204" pitchFamily="34" charset="0"/>
            </a:rPr>
            <a:t>Source:</a:t>
          </a:r>
          <a:r>
            <a:rPr lang="en-IE" sz="10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0.70325</cdr:x>
      <cdr:y>0.91827</cdr:y>
    </cdr:from>
    <cdr:ext cx="1530098" cy="420623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75524ED1-4EF5-C748-BF85-EE8DA230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26101" y="4725798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156404</xdr:colOff>
      <xdr:row>6</xdr:row>
      <xdr:rowOff>150975</xdr:rowOff>
    </xdr:from>
    <xdr:to>
      <xdr:col>22</xdr:col>
      <xdr:colOff>435804</xdr:colOff>
      <xdr:row>34</xdr:row>
      <xdr:rowOff>104852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0.83936</cdr:x>
      <cdr:y>0.91665</cdr:y>
    </cdr:from>
    <cdr:ext cx="1530099" cy="420625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36C7D179-26AF-8819-FD63-9545EF4D68D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4625952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79210</xdr:colOff>
      <xdr:row>6</xdr:row>
      <xdr:rowOff>101439</xdr:rowOff>
    </xdr:from>
    <xdr:to>
      <xdr:col>21</xdr:col>
      <xdr:colOff>358610</xdr:colOff>
      <xdr:row>46</xdr:row>
      <xdr:rowOff>1308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0.8659</cdr:y>
    </cdr:from>
    <cdr:ext cx="7995000" cy="838948"/>
    <cdr:sp macro="" textlink="">
      <cdr:nvSpPr>
        <cdr:cNvPr id="4" name="FootonotesShape">
          <a:extLst xmlns:a="http://schemas.openxmlformats.org/drawingml/2006/main">
            <a:ext uri="{FF2B5EF4-FFF2-40B4-BE49-F238E27FC236}">
              <a16:creationId xmlns:a16="http://schemas.microsoft.com/office/drawing/2014/main" id="{AF3B0692-B5BF-F30E-E126-6BC8117DD75E}"/>
            </a:ext>
          </a:extLst>
        </cdr:cNvPr>
        <cdr:cNvSpPr txBox="1"/>
      </cdr:nvSpPr>
      <cdr:spPr>
        <a:xfrm xmlns:a="http://schemas.openxmlformats.org/drawingml/2006/main">
          <a:off x="0" y="5417271"/>
          <a:ext cx="7995000" cy="838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provisional data. (²)</a:t>
          </a:r>
          <a:r>
            <a:rPr lang="pl-PL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data 2020. (³) 2010: not available.</a:t>
          </a:r>
          <a:r>
            <a:rPr lang="pl-PL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(⁴)</a:t>
          </a:r>
          <a:r>
            <a:rPr lang="pl-PL" sz="120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data 2021.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(⁵) This designation is without prejudice to positions on status, and is in line with UNSCR 1244/1999 and the ICJ Opinion on the Kosovo Declaration of Independence.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0.83936</cdr:x>
      <cdr:y>0.93277</cdr:y>
    </cdr:from>
    <cdr:ext cx="1530099" cy="42062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6421876B-DE1B-F7FF-DB55-5218D543FF7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35594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268</xdr:row>
      <xdr:rowOff>0</xdr:rowOff>
    </xdr:from>
    <xdr:to>
      <xdr:col>16</xdr:col>
      <xdr:colOff>350520</xdr:colOff>
      <xdr:row>328</xdr:row>
      <xdr:rowOff>31810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329</xdr:row>
      <xdr:rowOff>0</xdr:rowOff>
    </xdr:from>
    <xdr:to>
      <xdr:col>14</xdr:col>
      <xdr:colOff>449580</xdr:colOff>
      <xdr:row>379</xdr:row>
      <xdr:rowOff>10288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380</xdr:row>
      <xdr:rowOff>0</xdr:rowOff>
    </xdr:from>
    <xdr:to>
      <xdr:col>13</xdr:col>
      <xdr:colOff>464820</xdr:colOff>
      <xdr:row>439</xdr:row>
      <xdr:rowOff>8948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</xdr:colOff>
      <xdr:row>440</xdr:row>
      <xdr:rowOff>0</xdr:rowOff>
    </xdr:from>
    <xdr:to>
      <xdr:col>11</xdr:col>
      <xdr:colOff>411020</xdr:colOff>
      <xdr:row>499</xdr:row>
      <xdr:rowOff>8948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</xdr:colOff>
      <xdr:row>500</xdr:row>
      <xdr:rowOff>0</xdr:rowOff>
    </xdr:from>
    <xdr:to>
      <xdr:col>11</xdr:col>
      <xdr:colOff>7160</xdr:colOff>
      <xdr:row>562</xdr:row>
      <xdr:rowOff>15686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</xdr:colOff>
      <xdr:row>563</xdr:row>
      <xdr:rowOff>2</xdr:rowOff>
    </xdr:from>
    <xdr:to>
      <xdr:col>11</xdr:col>
      <xdr:colOff>7160</xdr:colOff>
      <xdr:row>626</xdr:row>
      <xdr:rowOff>28631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</xdr:colOff>
      <xdr:row>626</xdr:row>
      <xdr:rowOff>144778</xdr:rowOff>
    </xdr:from>
    <xdr:to>
      <xdr:col>11</xdr:col>
      <xdr:colOff>7160</xdr:colOff>
      <xdr:row>690</xdr:row>
      <xdr:rowOff>28627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120650</xdr:colOff>
      <xdr:row>16</xdr:row>
      <xdr:rowOff>114300</xdr:rowOff>
    </xdr:from>
    <xdr:to>
      <xdr:col>22</xdr:col>
      <xdr:colOff>393700</xdr:colOff>
      <xdr:row>63</xdr:row>
      <xdr:rowOff>107950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1397815C-B08A-49CB-893A-D53D1623E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571500</xdr:colOff>
      <xdr:row>21</xdr:row>
      <xdr:rowOff>152400</xdr:rowOff>
    </xdr:from>
    <xdr:to>
      <xdr:col>21</xdr:col>
      <xdr:colOff>203200</xdr:colOff>
      <xdr:row>71</xdr:row>
      <xdr:rowOff>44450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BF0659D1-92AB-45C8-848B-2D803CB4E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234950</xdr:colOff>
      <xdr:row>59</xdr:row>
      <xdr:rowOff>0</xdr:rowOff>
    </xdr:from>
    <xdr:to>
      <xdr:col>15</xdr:col>
      <xdr:colOff>146050</xdr:colOff>
      <xdr:row>64</xdr:row>
      <xdr:rowOff>31750</xdr:rowOff>
    </xdr:to>
    <xdr:sp macro="" textlink="">
      <xdr:nvSpPr>
        <xdr:cNvPr id="17" name="FootonotesShape">
          <a:extLst>
            <a:ext uri="{FF2B5EF4-FFF2-40B4-BE49-F238E27FC236}">
              <a16:creationId xmlns:a16="http://schemas.microsoft.com/office/drawing/2014/main" id="{1D6A514A-EE29-46E0-9BBB-8B9C896E56E7}"/>
            </a:ext>
          </a:extLst>
        </xdr:cNvPr>
        <xdr:cNvSpPr txBox="1"/>
      </xdr:nvSpPr>
      <xdr:spPr>
        <a:xfrm>
          <a:off x="5346700" y="9994900"/>
          <a:ext cx="5632450" cy="996950"/>
        </a:xfrm>
        <a:prstGeom prst="rect">
          <a:avLst/>
        </a:prstGeom>
      </xdr:spPr>
      <xdr:txBody>
        <a:bodyPr vert="horz"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spcBef>
              <a:spcPts val="300"/>
            </a:spcBef>
          </a:pPr>
          <a:r>
            <a:rPr lang="en-GB" sz="1200" b="0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 sorted on 202</a:t>
          </a:r>
          <a:r>
            <a:rPr lang="pl-PL" sz="1200" b="0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GB" sz="1200" b="0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data. The two parts of the figure have different scales for the y-axis</a:t>
          </a:r>
        </a:p>
        <a:p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(¹) </a:t>
          </a:r>
          <a:r>
            <a:rPr lang="pl-PL" sz="1200">
              <a:latin typeface="Arial" panose="020B0604020202020204" pitchFamily="34" charset="0"/>
              <a:cs typeface="Arial" panose="020B0604020202020204" pitchFamily="34" charset="0"/>
            </a:rPr>
            <a:t>provisional</a:t>
          </a:r>
          <a:r>
            <a:rPr lang="pl-PL" sz="1200" baseline="0">
              <a:latin typeface="Arial" panose="020B0604020202020204" pitchFamily="34" charset="0"/>
              <a:cs typeface="Arial" panose="020B0604020202020204" pitchFamily="34" charset="0"/>
            </a:rPr>
            <a:t> data. </a:t>
          </a:r>
          <a:r>
            <a:rPr lang="en-GB" sz="1100"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effectLst/>
              <a:latin typeface="+mn-lt"/>
              <a:ea typeface="+mn-ea"/>
              <a:cs typeface="+mn-cs"/>
            </a:rPr>
            <a:t>(²)</a:t>
          </a:r>
          <a:r>
            <a:rPr lang="pl-PL" sz="1100" b="0" i="0">
              <a:effectLst/>
              <a:latin typeface="+mn-lt"/>
              <a:ea typeface="+mn-ea"/>
              <a:cs typeface="+mn-cs"/>
            </a:rPr>
            <a:t> </a:t>
          </a:r>
          <a:r>
            <a:rPr lang="pl-PL" sz="1200">
              <a:latin typeface="Arial" panose="020B0604020202020204" pitchFamily="34" charset="0"/>
              <a:cs typeface="Arial" panose="020B0604020202020204" pitchFamily="34" charset="0"/>
            </a:rPr>
            <a:t>2020</a:t>
          </a:r>
          <a:r>
            <a:rPr lang="pl-PL" sz="1200" baseline="0">
              <a:latin typeface="Arial" panose="020B0604020202020204" pitchFamily="34" charset="0"/>
              <a:cs typeface="Arial" panose="020B0604020202020204" pitchFamily="34" charset="0"/>
            </a:rPr>
            <a:t>data.</a:t>
          </a:r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GB" sz="1100">
              <a:effectLst/>
              <a:latin typeface="+mn-lt"/>
              <a:ea typeface="+mn-ea"/>
              <a:cs typeface="+mn-cs"/>
            </a:rPr>
            <a:t>(³) </a:t>
          </a:r>
          <a:r>
            <a:rPr lang="en-GB" sz="1200" b="0" i="0" u="none" strike="noStrike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2010: not available.</a:t>
          </a:r>
        </a:p>
        <a:p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env_wasgen)</a:t>
          </a:r>
        </a:p>
      </xdr:txBody>
    </xdr:sp>
    <xdr:clientData/>
  </xdr:twoCellAnchor>
  <xdr:twoCellAnchor>
    <xdr:from>
      <xdr:col>5</xdr:col>
      <xdr:colOff>0</xdr:colOff>
      <xdr:row>73</xdr:row>
      <xdr:rowOff>0</xdr:rowOff>
    </xdr:from>
    <xdr:to>
      <xdr:col>7</xdr:col>
      <xdr:colOff>399775</xdr:colOff>
      <xdr:row>110</xdr:row>
      <xdr:rowOff>142706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AEC3030D-8D76-40A0-B5D6-26310BC85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18</xdr:col>
      <xdr:colOff>196850</xdr:colOff>
      <xdr:row>59</xdr:row>
      <xdr:rowOff>120650</xdr:rowOff>
    </xdr:from>
    <xdr:to>
      <xdr:col>20</xdr:col>
      <xdr:colOff>514099</xdr:colOff>
      <xdr:row>61</xdr:row>
      <xdr:rowOff>65025</xdr:rowOff>
    </xdr:to>
    <xdr:pic>
      <xdr:nvPicPr>
        <xdr:cNvPr id="20" name="LogoShape">
          <a:extLst>
            <a:ext uri="{FF2B5EF4-FFF2-40B4-BE49-F238E27FC236}">
              <a16:creationId xmlns:a16="http://schemas.microsoft.com/office/drawing/2014/main" id="{0E49676E-97EB-0D16-DB52-252A6570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"/>
        <a:stretch>
          <a:fillRect/>
        </a:stretch>
      </xdr:blipFill>
      <xdr:spPr>
        <a:xfrm>
          <a:off x="12763500" y="10115550"/>
          <a:ext cx="1530099" cy="42062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0.00733</cdr:x>
      <cdr:y>0.05218</cdr:y>
    </cdr:from>
    <cdr:to>
      <cdr:x>0.98847</cdr:x>
      <cdr:y>0.87525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2F52407-6E76-640C-9ACA-0EC15115CE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478790"/>
          <a:ext cx="11904762" cy="7552381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0.00419</cdr:x>
      <cdr:y>0.86579</cdr:y>
    </cdr:from>
    <cdr:ext cx="10603174" cy="1231490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7944320"/>
          <a:ext cx="10603174" cy="1231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2018 data.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(¹) 2010: not available.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2016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(³) This designation is without prejudice to positions on status, and is in line with UNSCR 1244/1999 and the ICJ Opinion on the Kosovo Declaration of Independence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0.87387</cdr:x>
      <cdr:y>0.95445</cdr:y>
    </cdr:from>
    <cdr:ext cx="1530356" cy="417916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C2887010-E22A-3B46-4CBD-4E7F5BE6053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0603166" y="8757894"/>
          <a:ext cx="1530356" cy="417916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0.00737</cdr:x>
      <cdr:y>0.06275</cdr:y>
    </cdr:from>
    <cdr:to>
      <cdr:x>0.98781</cdr:x>
      <cdr:y>0.84659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BD27294-71D3-823E-4A7B-598160509B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478790"/>
          <a:ext cx="11828571" cy="5980952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0.00421</cdr:x>
      <cdr:y>0.8386</cdr:y>
    </cdr:from>
    <cdr:ext cx="10534130" cy="1231491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6398797"/>
          <a:ext cx="10534130" cy="123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2018 data.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(¹) 2010: not available.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2016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(³) This designation is without prejudice to positions on status, and is in line with UNSCR 1244/1999 and the ICJ Opinion on the Kosovo Declaration of Independence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0.87315</cdr:x>
      <cdr:y>0.94523</cdr:y>
    </cdr:from>
    <cdr:ext cx="1530355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E8E9BBBB-D6FC-69AD-34FC-3E413246DE9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0534124" y="7212373"/>
          <a:ext cx="1530355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0.00732</cdr:x>
      <cdr:y>0.07916</cdr:y>
    </cdr:from>
    <cdr:to>
      <cdr:x>0.98877</cdr:x>
      <cdr:y>0.87382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F829DE4-C706-D32C-D6FC-20864FAE6A8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1914286" cy="7152381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0.00418</cdr:x>
      <cdr:y>0.86745</cdr:y>
    </cdr:from>
    <cdr:ext cx="10609120" cy="1193019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7807529"/>
          <a:ext cx="10609120" cy="119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2020 data. The two parts of the figure have different scales for the y-axis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(¹) 2010: not available.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(²) 2018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(³) This designation is without prejudice to positions on status, and is in line with UNSCR 1244/1999 and the ICJ Opinion on the Kosovo Declaration of Independence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0.87394</cdr:x>
      <cdr:y>0.95357</cdr:y>
    </cdr:from>
    <cdr:ext cx="1530357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9B7335F8-A0C9-971F-F868-D1B43DE593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0609112" y="8582633"/>
          <a:ext cx="1530357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0.07916</cdr:y>
    </cdr:from>
    <cdr:to>
      <cdr:x>0.98887</cdr:x>
      <cdr:y>0.87382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671AE7F-B95D-4D3E-DFB4-0293B29B92E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2019047" cy="7152381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0.00415</cdr:x>
      <cdr:y>0.86745</cdr:y>
    </cdr:from>
    <cdr:ext cx="10713895" cy="1193019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7807529"/>
          <a:ext cx="10713895" cy="119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2020 data. The two parts of the figure have different scales for the y-axis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(¹) 2010: not available.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(²) 2018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(³) This designation is without prejudice to positions on status, and is in line with UNSCR 1244/1999 and the ICJ Opinion on the Kosovo Declaration of Independence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0.87501</cdr:x>
      <cdr:y>0.95357</cdr:y>
    </cdr:from>
    <cdr:ext cx="1530357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445B887D-DC76-3683-DB85-2DDA9C927F9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0713887" y="8582633"/>
          <a:ext cx="1530357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0.01098</cdr:x>
      <cdr:y>0.07923</cdr:y>
    </cdr:from>
    <cdr:to>
      <cdr:x>0.98253</cdr:x>
      <cdr:y>0.9509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66D12EC-F64F-36FA-2EE1-D9E08526FA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7866667" cy="7838095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0.811</cdr:x>
      <cdr:y>0.95352</cdr:y>
    </cdr:from>
    <cdr:ext cx="1530357" cy="417916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E620AB72-24CC-978C-1DCE-A999D4BAF38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6566702" y="8574130"/>
          <a:ext cx="1530357" cy="417916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0.01098</cdr:x>
      <cdr:y>0.07787</cdr:y>
    </cdr:from>
    <cdr:to>
      <cdr:x>0.98253</cdr:x>
      <cdr:y>0.93451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DD90B53-EA1D-D45D-6657-CE5275FAC1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7866667" cy="7838095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0.00627</cdr:x>
      <cdr:y>0.92766</cdr:y>
    </cdr:from>
    <cdr:ext cx="6566710" cy="661910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8487857"/>
          <a:ext cx="6566710" cy="661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>
              <a:latin typeface="Arial" panose="020B0604020202020204" pitchFamily="34" charset="0"/>
            </a:rPr>
            <a:t>Note: sorted on 2020 data. The two parts of the figure have different scales for the y-axis</a:t>
          </a:r>
        </a:p>
        <a:p xmlns:a="http://schemas.openxmlformats.org/drawingml/2006/main">
          <a:r>
            <a:rPr lang="en-US" sz="1200">
              <a:latin typeface="Arial" panose="020B0604020202020204" pitchFamily="34" charset="0"/>
            </a:rPr>
            <a:t> (¹) 2010: not available.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US" sz="1200" i="1">
              <a:latin typeface="Arial" panose="020B0604020202020204" pitchFamily="34" charset="0"/>
            </a:rPr>
            <a:t>Source:</a:t>
          </a:r>
          <a:r>
            <a:rPr lang="en-US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0.811</cdr:x>
      <cdr:y>0.95432</cdr:y>
    </cdr:from>
    <cdr:ext cx="1530356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7633FA04-B9CB-4F1D-BD8A-39E57C828A9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6566702" y="8731852"/>
          <a:ext cx="1530356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0.01098</cdr:x>
      <cdr:y>0.07787</cdr:y>
    </cdr:from>
    <cdr:to>
      <cdr:x>0.98253</cdr:x>
      <cdr:y>0.93451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54F81E5-B3E7-C72A-0C79-FB9C65B79E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7866667" cy="7838095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0.00627</cdr:x>
      <cdr:y>0.92766</cdr:y>
    </cdr:from>
    <cdr:ext cx="6566710" cy="661910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8487857"/>
          <a:ext cx="6566710" cy="661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>
              <a:latin typeface="Arial" panose="020B0604020202020204" pitchFamily="34" charset="0"/>
            </a:rPr>
            <a:t>Note: sorted on 2020 data. The two parts of the figure have different scales for the y-axis</a:t>
          </a:r>
        </a:p>
        <a:p xmlns:a="http://schemas.openxmlformats.org/drawingml/2006/main">
          <a:r>
            <a:rPr lang="en-US" sz="1200">
              <a:latin typeface="Arial" panose="020B0604020202020204" pitchFamily="34" charset="0"/>
            </a:rPr>
            <a:t> (¹) 2010: not available.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US" sz="1200" i="1">
              <a:latin typeface="Arial" panose="020B0604020202020204" pitchFamily="34" charset="0"/>
            </a:rPr>
            <a:t>Source:</a:t>
          </a:r>
          <a:r>
            <a:rPr lang="en-US" sz="1200">
              <a:latin typeface="Arial" panose="020B0604020202020204" pitchFamily="34" charset="0"/>
            </a:rPr>
            <a:t> Eurostat (online data code: env_wasgen)</a:t>
          </a:r>
        </a:p>
      </cdr:txBody>
    </cdr:sp>
  </cdr:absSizeAnchor>
  <cdr:absSizeAnchor xmlns:cdr="http://schemas.openxmlformats.org/drawingml/2006/chartDrawing">
    <cdr:from>
      <cdr:x>0.811</cdr:x>
      <cdr:y>0.95432</cdr:y>
    </cdr:from>
    <cdr:ext cx="1530356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8283859C-BCF2-D2C2-243E-5FF254D5590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6566702" y="8731852"/>
          <a:ext cx="1530356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0.22817</cdr:x>
      <cdr:y>0.13929</cdr:y>
    </cdr:from>
    <cdr:to>
      <cdr:x>0.28362</cdr:x>
      <cdr:y>0.57054</cdr:y>
    </cdr:to>
    <cdr:sp macro="" textlink="">
      <cdr:nvSpPr>
        <cdr:cNvPr id="3" name="Line 1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 flipV="1">
          <a:off x="2273300" y="990600"/>
          <a:ext cx="552450" cy="3067050"/>
        </a:xfrm>
        <a:prstGeom xmlns:a="http://schemas.openxmlformats.org/drawingml/2006/main" prst="line">
          <a:avLst/>
        </a:prstGeom>
        <a:ln xmlns:a="http://schemas.openxmlformats.org/drawingml/2006/main" w="9360">
          <a:solidFill>
            <a:schemeClr val="bg1">
              <a:lumMod val="75000"/>
            </a:schemeClr>
          </a:solidFill>
          <a:custDash>
            <a:ds d="400000" sp="100000"/>
          </a:custDash>
          <a:round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E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207645</xdr:colOff>
      <xdr:row>21</xdr:row>
      <xdr:rowOff>130185</xdr:rowOff>
    </xdr:from>
    <xdr:to>
      <xdr:col>9</xdr:col>
      <xdr:colOff>112395</xdr:colOff>
      <xdr:row>58</xdr:row>
      <xdr:rowOff>83752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absSizeAnchor xmlns:cdr="http://schemas.openxmlformats.org/drawingml/2006/chartDrawing">
    <cdr:from>
      <cdr:x>0</cdr:x>
      <cdr:y>0.95388</cdr:y>
    </cdr:from>
    <cdr:ext cx="7995000" cy="269368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07CE73C4-FC15-D27C-C6A5-3BB4043106F2}"/>
            </a:ext>
          </a:extLst>
        </cdr:cNvPr>
        <cdr:cNvSpPr txBox="1"/>
      </cdr:nvSpPr>
      <cdr:spPr>
        <a:xfrm xmlns:a="http://schemas.openxmlformats.org/drawingml/2006/main">
          <a:off x="0" y="5570649"/>
          <a:ext cx="7995000" cy="26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0.83936</cdr:x>
      <cdr:y>0.92798</cdr:y>
    </cdr:from>
    <cdr:ext cx="1530099" cy="420625"/>
    <cdr:pic>
      <cdr:nvPicPr>
        <cdr:cNvPr id="9" name="LogoShape">
          <a:extLst xmlns:a="http://schemas.openxmlformats.org/drawingml/2006/main">
            <a:ext uri="{FF2B5EF4-FFF2-40B4-BE49-F238E27FC236}">
              <a16:creationId xmlns:a16="http://schemas.microsoft.com/office/drawing/2014/main" id="{93AB453D-DA3C-36C3-14B7-8601DAD40EC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19392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252411</xdr:colOff>
      <xdr:row>4</xdr:row>
      <xdr:rowOff>19052</xdr:rowOff>
    </xdr:from>
    <xdr:to>
      <xdr:col>14</xdr:col>
      <xdr:colOff>1001711</xdr:colOff>
      <xdr:row>39</xdr:row>
      <xdr:rowOff>17511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absSizeAnchor xmlns:cdr="http://schemas.openxmlformats.org/drawingml/2006/chartDrawing">
    <cdr:from>
      <cdr:x>0</cdr:x>
      <cdr:y>0.84186</cdr:y>
    </cdr:from>
    <cdr:ext cx="7995000" cy="838948"/>
    <cdr:sp macro="" textlink="">
      <cdr:nvSpPr>
        <cdr:cNvPr id="6" name="FootonotesShape">
          <a:extLst xmlns:a="http://schemas.openxmlformats.org/drawingml/2006/main">
            <a:ext uri="{FF2B5EF4-FFF2-40B4-BE49-F238E27FC236}">
              <a16:creationId xmlns:a16="http://schemas.microsoft.com/office/drawing/2014/main" id="{F1623C8C-2ED7-498E-2DCD-7F9FA12FFF6F}"/>
            </a:ext>
          </a:extLst>
        </cdr:cNvPr>
        <cdr:cNvSpPr txBox="1"/>
      </cdr:nvSpPr>
      <cdr:spPr>
        <a:xfrm xmlns:a="http://schemas.openxmlformats.org/drawingml/2006/main">
          <a:off x="0" y="5408663"/>
          <a:ext cx="7995000" cy="838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provisional data</a:t>
          </a:r>
          <a:r>
            <a:rPr lang="pl-PL" sz="1200">
              <a:latin typeface="Arial" panose="020B0604020202020204" pitchFamily="34" charset="0"/>
            </a:rPr>
            <a:t>.</a:t>
          </a:r>
          <a:r>
            <a:rPr lang="pl-PL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(²) 2020 value.</a:t>
          </a:r>
          <a:r>
            <a:rPr lang="pl-PL" sz="1200">
              <a:latin typeface="Arial" panose="020B0604020202020204" pitchFamily="34" charset="0"/>
            </a:rPr>
            <a:t> (³) data 2021.</a:t>
          </a:r>
          <a:endParaRPr lang="en-IE" sz="1200">
            <a:latin typeface="Arial" panose="020B0604020202020204" pitchFamily="34" charset="0"/>
          </a:endParaRP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(⁴)</a:t>
          </a:r>
          <a:r>
            <a:rPr lang="pl-PL" sz="120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This designation is without prejudice to positions on status, and is in line with UNSCR 1244/1999 and the ICJ Opinion on the Kosovo Declaration of Independence.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0.83936</cdr:x>
      <cdr:y>0.93453</cdr:y>
    </cdr:from>
    <cdr:ext cx="1530099" cy="420623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8769BE3F-724E-2972-4829-E92172CB81D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004036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83518</xdr:colOff>
      <xdr:row>5</xdr:row>
      <xdr:rowOff>108433</xdr:rowOff>
    </xdr:from>
    <xdr:to>
      <xdr:col>10</xdr:col>
      <xdr:colOff>1988518</xdr:colOff>
      <xdr:row>38</xdr:row>
      <xdr:rowOff>38647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0.82788</cdr:x>
      <cdr:y>0.2458</cdr:y>
    </cdr:from>
    <cdr:to>
      <cdr:x>0.8562</cdr:x>
      <cdr:y>0.28226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70970F44-9401-318B-ACF2-C8C3B7D80158}"/>
            </a:ext>
          </a:extLst>
        </cdr:cNvPr>
        <cdr:cNvGrpSpPr/>
      </cdr:nvGrpSpPr>
      <cdr:grpSpPr>
        <a:xfrm xmlns:a="http://schemas.openxmlformats.org/drawingml/2006/main">
          <a:off x="7885557" y="1317356"/>
          <a:ext cx="269748" cy="195406"/>
          <a:chOff x="0" y="0"/>
          <a:chExt cx="231941" cy="224495"/>
        </a:xfrm>
      </cdr:grpSpPr>
      <cdr:cxnSp macro="">
        <cdr:nvCxnSpPr>
          <cdr:cNvPr id="5" name="Straight Connector 4">
            <a:extLst xmlns:a="http://schemas.openxmlformats.org/drawingml/2006/main">
              <a:ext uri="{FF2B5EF4-FFF2-40B4-BE49-F238E27FC236}">
                <a16:creationId xmlns:a16="http://schemas.microsoft.com/office/drawing/2014/main" id="{8C186428-664D-5163-6982-8A97983A99EC}"/>
              </a:ext>
            </a:extLst>
          </cdr:cNvPr>
          <cdr:cNvCxnSpPr/>
        </cdr:nvCxnSpPr>
        <cdr:spPr bwMode="auto">
          <a:xfrm xmlns:a="http://schemas.openxmlformats.org/drawingml/2006/main" flipV="1">
            <a:off x="0" y="0"/>
            <a:ext cx="221027" cy="127815"/>
          </a:xfrm>
          <a:prstGeom xmlns:a="http://schemas.openxmlformats.org/drawingml/2006/main" prst="line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 xmlns:a="http://schemas.openxmlformats.org/drawingml/2006/main"/>
        </cdr:spPr>
      </cdr:cxnSp>
      <cdr:cxnSp macro="">
        <cdr:nvCxnSpPr>
          <cdr:cNvPr id="6" name="Straight Connector 5">
            <a:extLst xmlns:a="http://schemas.openxmlformats.org/drawingml/2006/main">
              <a:ext uri="{FF2B5EF4-FFF2-40B4-BE49-F238E27FC236}">
                <a16:creationId xmlns:a16="http://schemas.microsoft.com/office/drawing/2014/main" id="{72B1A47C-CC91-E91D-A9DD-6A93F1EC3EAB}"/>
              </a:ext>
            </a:extLst>
          </cdr:cNvPr>
          <cdr:cNvCxnSpPr/>
        </cdr:nvCxnSpPr>
        <cdr:spPr bwMode="auto">
          <a:xfrm xmlns:a="http://schemas.openxmlformats.org/drawingml/2006/main" flipV="1">
            <a:off x="10914" y="96680"/>
            <a:ext cx="221027" cy="127815"/>
          </a:xfrm>
          <a:prstGeom xmlns:a="http://schemas.openxmlformats.org/drawingml/2006/main" prst="line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 xmlns:a="http://schemas.openxmlformats.org/drawingml/2006/main"/>
        </cdr:spPr>
      </cdr:cxnSp>
    </cdr:grpSp>
  </cdr:relSizeAnchor>
  <cdr:absSizeAnchor xmlns:cdr="http://schemas.openxmlformats.org/drawingml/2006/chartDrawing">
    <cdr:from>
      <cdr:x>0.83936</cdr:x>
      <cdr:y>0.92152</cdr:y>
    </cdr:from>
    <cdr:ext cx="1530099" cy="420625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8D154890-1C5D-185B-0A86-6EECBF3A13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4938839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622300</xdr:colOff>
      <xdr:row>59</xdr:row>
      <xdr:rowOff>22860</xdr:rowOff>
    </xdr:from>
    <xdr:to>
      <xdr:col>3</xdr:col>
      <xdr:colOff>139700</xdr:colOff>
      <xdr:row>83</xdr:row>
      <xdr:rowOff>99060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 flipV="1">
          <a:off x="3556000" y="9859010"/>
          <a:ext cx="812800" cy="3898900"/>
        </a:xfrm>
        <a:prstGeom prst="line">
          <a:avLst/>
        </a:prstGeom>
        <a:ln w="3240">
          <a:solidFill>
            <a:schemeClr val="bg1">
              <a:lumMod val="75000"/>
            </a:schemeClr>
          </a:solidFill>
          <a:prstDash val="sysDash"/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25400</xdr:colOff>
      <xdr:row>52</xdr:row>
      <xdr:rowOff>31750</xdr:rowOff>
    </xdr:from>
    <xdr:to>
      <xdr:col>12</xdr:col>
      <xdr:colOff>974724</xdr:colOff>
      <xdr:row>109</xdr:row>
      <xdr:rowOff>47625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506186" y="8885464"/>
          <a:ext cx="14483895" cy="9377590"/>
          <a:chOff x="698733" y="8971686"/>
          <a:chExt cx="12353789" cy="6325392"/>
        </a:xfrm>
      </xdr:grpSpPr>
      <xdr:graphicFrame macro="">
        <xdr:nvGraphicFramePr>
          <xdr:cNvPr id="12" name="Chart 2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GraphicFramePr/>
        </xdr:nvGraphicFramePr>
        <xdr:xfrm>
          <a:off x="3963495" y="8971686"/>
          <a:ext cx="9089027" cy="63253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3" name="Chart 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GraphicFramePr/>
        </xdr:nvGraphicFramePr>
        <xdr:xfrm>
          <a:off x="698733" y="9673771"/>
          <a:ext cx="3322317" cy="43650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693421</xdr:colOff>
      <xdr:row>106</xdr:row>
      <xdr:rowOff>6350</xdr:rowOff>
    </xdr:from>
    <xdr:to>
      <xdr:col>7</xdr:col>
      <xdr:colOff>1737361</xdr:colOff>
      <xdr:row>113</xdr:row>
      <xdr:rowOff>50800</xdr:rowOff>
    </xdr:to>
    <xdr:sp macro="" textlink="">
      <xdr:nvSpPr>
        <xdr:cNvPr id="7" name="FootonotesShap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176021" y="17272000"/>
          <a:ext cx="9489440" cy="1155700"/>
        </a:xfrm>
        <a:prstGeom prst="rect">
          <a:avLst/>
        </a:prstGeom>
      </xdr:spPr>
      <xdr:txBody>
        <a:bodyPr vert="horz"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>
            <a:latin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25400</xdr:colOff>
      <xdr:row>181</xdr:row>
      <xdr:rowOff>0</xdr:rowOff>
    </xdr:from>
    <xdr:to>
      <xdr:col>12</xdr:col>
      <xdr:colOff>578952</xdr:colOff>
      <xdr:row>239</xdr:row>
      <xdr:rowOff>141716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</xdr:colOff>
      <xdr:row>240</xdr:row>
      <xdr:rowOff>0</xdr:rowOff>
    </xdr:from>
    <xdr:to>
      <xdr:col>12</xdr:col>
      <xdr:colOff>578952</xdr:colOff>
      <xdr:row>297</xdr:row>
      <xdr:rowOff>60436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</xdr:colOff>
      <xdr:row>298</xdr:row>
      <xdr:rowOff>0</xdr:rowOff>
    </xdr:from>
    <xdr:to>
      <xdr:col>12</xdr:col>
      <xdr:colOff>578952</xdr:colOff>
      <xdr:row>356</xdr:row>
      <xdr:rowOff>141716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</xdr:colOff>
      <xdr:row>357</xdr:row>
      <xdr:rowOff>1</xdr:rowOff>
    </xdr:from>
    <xdr:to>
      <xdr:col>12</xdr:col>
      <xdr:colOff>618957</xdr:colOff>
      <xdr:row>412</xdr:row>
      <xdr:rowOff>142481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1511300</xdr:colOff>
      <xdr:row>56</xdr:row>
      <xdr:rowOff>127000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50A93C-D172-55E6-8DEB-004DD7CDBF94}"/>
            </a:ext>
          </a:extLst>
        </xdr:cNvPr>
        <xdr:cNvSpPr txBox="1"/>
      </xdr:nvSpPr>
      <xdr:spPr>
        <a:xfrm>
          <a:off x="1993900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E" sz="1100"/>
        </a:p>
      </xdr:txBody>
    </xdr:sp>
    <xdr:clientData/>
  </xdr:one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0.00582</cdr:x>
      <cdr:y>0.07933</cdr:y>
    </cdr:from>
    <cdr:to>
      <cdr:x>0.99066</cdr:x>
      <cdr:y>0.91284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1EF5FE1-156E-D630-7D12-4ABA8F8CABA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5038095" cy="7485714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0.00333</cdr:x>
      <cdr:y>0.90659</cdr:y>
    </cdr:from>
    <cdr:ext cx="13739327" cy="838948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8141968"/>
          <a:ext cx="13739327" cy="838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(1) From 1 July 2020 onwards backfilling is only possible for non-hazardous waste (Directive EU 2018/851, article 1 (3g))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2018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total hazardous waste recycled and backfilled.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0.89978</cdr:x>
      <cdr:y>0.95347</cdr:y>
    </cdr:from>
    <cdr:ext cx="1530358" cy="417916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9F5BBEC4-2BFD-8BB8-AB11-EABB7D6392A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3739319" y="8563000"/>
          <a:ext cx="1530358" cy="417916"/>
        </a:xfrm>
        <a:prstGeom xmlns:a="http://schemas.openxmlformats.org/drawingml/2006/main" prst="rect">
          <a:avLst/>
        </a:prstGeom>
      </cdr:spPr>
    </cdr:pic>
  </cdr:abs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0.00582</cdr:x>
      <cdr:y>0.05474</cdr:y>
    </cdr:from>
    <cdr:to>
      <cdr:x>0.99066</cdr:x>
      <cdr:y>0.91052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E638E05-52E1-B7F0-F268-81DA58E6E9B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478790"/>
          <a:ext cx="15038095" cy="7485714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0.00333</cdr:x>
      <cdr:y>0.90409</cdr:y>
    </cdr:from>
    <cdr:ext cx="13739327" cy="838947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7908288"/>
          <a:ext cx="13739327" cy="838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(1) From 1 July 2020 onwards backfilling is only possible for non-hazardous waste (Directive EU 2018/851, article 1 (3g))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2018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total hazardous waste recycled and backfilled.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0.89978</cdr:x>
      <cdr:y>0.95222</cdr:y>
    </cdr:from>
    <cdr:ext cx="1530358" cy="417916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9D18A732-8FA2-127C-C92D-F0D1F03B3AB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3739319" y="8329319"/>
          <a:ext cx="1530358" cy="417916"/>
        </a:xfrm>
        <a:prstGeom xmlns:a="http://schemas.openxmlformats.org/drawingml/2006/main" prst="rect">
          <a:avLst/>
        </a:prstGeom>
      </cdr:spPr>
    </cdr:pic>
  </cdr:abs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0.00582</cdr:x>
      <cdr:y>0.07933</cdr:y>
    </cdr:from>
    <cdr:to>
      <cdr:x>0.99066</cdr:x>
      <cdr:y>0.91284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14DCF14-CA3E-5167-27FC-68A4DDAC663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5038095" cy="7485714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0.00333</cdr:x>
      <cdr:y>0.90659</cdr:y>
    </cdr:from>
    <cdr:ext cx="13739327" cy="838948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8141968"/>
          <a:ext cx="13739327" cy="838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(1) From 1 July 2020 onwards backfilling is only possible for non-hazardous waste (Directive EU 2018/851, article 1 (3g))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2018 Value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sorted on total hazardous waste recycled and backfilled.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0.89978</cdr:x>
      <cdr:y>0.95347</cdr:y>
    </cdr:from>
    <cdr:ext cx="1530358" cy="417916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DD4E9E8D-7763-7267-390B-BB3AE05EAE5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3739319" y="8563000"/>
          <a:ext cx="1530358" cy="417916"/>
        </a:xfrm>
        <a:prstGeom xmlns:a="http://schemas.openxmlformats.org/drawingml/2006/main" prst="rect">
          <a:avLst/>
        </a:prstGeom>
      </cdr:spPr>
    </cdr:pic>
  </cdr:abs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0.00633</cdr:x>
      <cdr:y>0.0879</cdr:y>
    </cdr:from>
    <cdr:to>
      <cdr:x>0.98986</cdr:x>
      <cdr:y>0.92685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30BC7B4-D535-E93D-184A-4E906499A8B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3819047" cy="6800000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0.00362</cdr:x>
      <cdr:y>0.91834</cdr:y>
    </cdr:from>
    <cdr:ext cx="12520127" cy="661911"/>
    <cdr:sp macro="" textlink="">
      <cdr:nvSpPr>
        <cdr:cNvPr id="3" name="FootonotesShape"/>
        <cdr:cNvSpPr txBox="1"/>
      </cdr:nvSpPr>
      <cdr:spPr>
        <a:xfrm xmlns:a="http://schemas.openxmlformats.org/drawingml/2006/main">
          <a:off x="50800" y="7443467"/>
          <a:ext cx="12520127" cy="661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US" sz="1200">
              <a:latin typeface="Arial" panose="020B0604020202020204" pitchFamily="34" charset="0"/>
            </a:rPr>
            <a:t>(¹) value of incineration for Austria estimated by Eurostat.</a:t>
          </a:r>
        </a:p>
        <a:p xmlns:a="http://schemas.openxmlformats.org/drawingml/2006/main">
          <a:r>
            <a:rPr lang="en-US" sz="1200">
              <a:latin typeface="Arial" panose="020B0604020202020204" pitchFamily="34" charset="0"/>
            </a:rPr>
            <a:t>Note: the two parts of the figure have different scales for the y-axis.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US" sz="1200" i="1">
              <a:latin typeface="Arial" panose="020B0604020202020204" pitchFamily="34" charset="0"/>
            </a:rPr>
            <a:t>Source:</a:t>
          </a:r>
          <a:r>
            <a:rPr lang="en-US" sz="1200">
              <a:latin typeface="Arial" panose="020B0604020202020204" pitchFamily="34" charset="0"/>
            </a:rPr>
            <a:t> Eurostat (online data code: env_wastrt)</a:t>
          </a:r>
        </a:p>
      </cdr:txBody>
    </cdr:sp>
  </cdr:absSizeAnchor>
  <cdr:absSizeAnchor xmlns:cdr="http://schemas.openxmlformats.org/drawingml/2006/chartDrawing">
    <cdr:from>
      <cdr:x>0.89108</cdr:x>
      <cdr:y>0.94844</cdr:y>
    </cdr:from>
    <cdr:ext cx="1530357" cy="41791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29B8F141-96AA-8FCE-D3C8-2481ED3FE8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12520119" y="7687463"/>
          <a:ext cx="1530357" cy="417915"/>
        </a:xfrm>
        <a:prstGeom xmlns:a="http://schemas.openxmlformats.org/drawingml/2006/main" prst="rect">
          <a:avLst/>
        </a:prstGeom>
      </cdr:spPr>
    </cdr:pic>
  </cdr:abs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dissemination\DissProd\Statistics%20Explained\Proofreading\Proofreading%202024\Waste%20Statistics\Waste_statistics_26_09_2024_layout%20REV26_09_24.xlsx" TargetMode="External"/><Relationship Id="rId1" Type="http://schemas.openxmlformats.org/officeDocument/2006/relationships/externalLinkPath" Target="file:///U:\dissemination\DissProd\Statistics%20Explained\Proofreading\Proofreading%202024\Waste%20Statistics\Waste_statistics_26_09_2024_layout%20REV26_09_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1.cec.eu.int\Homes\07\SULIKJO\Desktop\se_202305_WStat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_1"/>
      <sheetName val="Figure 1"/>
      <sheetName val="Figure 2"/>
      <sheetName val="Figure_3"/>
      <sheetName val="Table_2"/>
      <sheetName val="Figure_4"/>
      <sheetName val="Figure_5"/>
      <sheetName val="Figure_6"/>
      <sheetName val="Figure_7"/>
      <sheetName val="Figure_8"/>
      <sheetName val="Sheet1"/>
    </sheetNames>
    <sheetDataSet>
      <sheetData sheetId="0"/>
      <sheetData sheetId="1"/>
      <sheetData sheetId="2"/>
      <sheetData sheetId="3"/>
      <sheetData sheetId="4"/>
      <sheetData sheetId="5">
        <row r="7">
          <cell r="G7" t="str">
            <v>Hazardous waste generated, 2010 and 2022</v>
          </cell>
        </row>
        <row r="10">
          <cell r="D10">
            <v>2010</v>
          </cell>
          <cell r="E10">
            <v>2022</v>
          </cell>
        </row>
        <row r="11">
          <cell r="C11" t="str">
            <v>Estonia</v>
          </cell>
          <cell r="D11">
            <v>47.166400134314415</v>
          </cell>
          <cell r="E11">
            <v>6.7449343033983684</v>
          </cell>
        </row>
        <row r="12">
          <cell r="C12" t="str">
            <v>Bulgaria</v>
          </cell>
          <cell r="D12">
            <v>8.0966458583174621</v>
          </cell>
          <cell r="E12">
            <v>14.87122680412403</v>
          </cell>
        </row>
        <row r="13">
          <cell r="C13" t="str">
            <v>Finland</v>
          </cell>
          <cell r="D13">
            <v>2.4530304433681707</v>
          </cell>
          <cell r="E13">
            <v>26.403789215227093</v>
          </cell>
        </row>
        <row r="15">
          <cell r="C15" t="str">
            <v>Norway</v>
          </cell>
          <cell r="D15">
            <v>18.690062129776994</v>
          </cell>
          <cell r="E15">
            <v>13.545841840787457</v>
          </cell>
        </row>
        <row r="17">
          <cell r="C17" t="str">
            <v>Serbia</v>
          </cell>
          <cell r="D17">
            <v>33.200000000000003</v>
          </cell>
          <cell r="E17">
            <v>16.883003363631474</v>
          </cell>
        </row>
        <row r="18">
          <cell r="C18" t="str">
            <v>North Macedonia</v>
          </cell>
          <cell r="D18" t="str">
            <v>:</v>
          </cell>
          <cell r="E18">
            <v>21.614077434080301</v>
          </cell>
        </row>
        <row r="19">
          <cell r="C19" t="str">
            <v xml:space="preserve">Montenegro </v>
          </cell>
          <cell r="D19">
            <v>6.4244132342895446</v>
          </cell>
          <cell r="E19">
            <v>23.271000414112709</v>
          </cell>
        </row>
        <row r="20">
          <cell r="C20" t="str">
            <v>Türkiye</v>
          </cell>
          <cell r="D20">
            <v>5.0767301246522223</v>
          </cell>
          <cell r="E20">
            <v>24.795810532448318</v>
          </cell>
        </row>
        <row r="22">
          <cell r="C22" t="str">
            <v>EU</v>
          </cell>
          <cell r="D22">
            <v>4.1036648741470474</v>
          </cell>
          <cell r="E22">
            <v>5.3</v>
          </cell>
        </row>
        <row r="24">
          <cell r="C24" t="str">
            <v>Romania</v>
          </cell>
          <cell r="D24">
            <v>0.34537000850471578</v>
          </cell>
          <cell r="E24">
            <v>0.68079368147261199</v>
          </cell>
        </row>
        <row r="25">
          <cell r="C25" t="str">
            <v>Slovenia</v>
          </cell>
          <cell r="D25">
            <v>1.9575329939028812</v>
          </cell>
          <cell r="E25">
            <v>1.1753428796150562</v>
          </cell>
        </row>
        <row r="26">
          <cell r="C26" t="str">
            <v>Poland</v>
          </cell>
          <cell r="D26">
            <v>0.94026635509103162</v>
          </cell>
          <cell r="E26">
            <v>1.2953522947660596</v>
          </cell>
        </row>
        <row r="27">
          <cell r="C27" t="str">
            <v>Malta</v>
          </cell>
          <cell r="D27">
            <v>1.8580822414733826</v>
          </cell>
          <cell r="E27">
            <v>1.683485100271451</v>
          </cell>
        </row>
        <row r="28">
          <cell r="C28" t="str">
            <v>Cyprus</v>
          </cell>
          <cell r="D28">
            <v>1.5724791908123485</v>
          </cell>
          <cell r="E28">
            <v>1.911187985430838</v>
          </cell>
        </row>
        <row r="29">
          <cell r="C29" t="str">
            <v>Austria</v>
          </cell>
          <cell r="D29">
            <v>3.1471736102583319</v>
          </cell>
          <cell r="E29">
            <v>2.017313450374405</v>
          </cell>
        </row>
        <row r="30">
          <cell r="C30" t="str">
            <v>Hungary</v>
          </cell>
          <cell r="D30">
            <v>3.2302679173391677</v>
          </cell>
          <cell r="E30">
            <v>2.1699684012493377</v>
          </cell>
        </row>
        <row r="31">
          <cell r="C31" t="str">
            <v>Latvia</v>
          </cell>
          <cell r="D31">
            <v>4.5325056734748363</v>
          </cell>
          <cell r="E31">
            <v>2.3065302695851493</v>
          </cell>
        </row>
        <row r="32">
          <cell r="C32" t="str">
            <v>Greece (¹)</v>
          </cell>
          <cell r="D32">
            <v>0.41425783661155713</v>
          </cell>
          <cell r="E32">
            <v>2.4865132358125575</v>
          </cell>
        </row>
        <row r="33">
          <cell r="C33" t="str">
            <v>Croatia</v>
          </cell>
          <cell r="D33">
            <v>2.2976737292537033</v>
          </cell>
          <cell r="E33">
            <v>2.5397763148317112</v>
          </cell>
        </row>
        <row r="34">
          <cell r="C34" t="str">
            <v>Spain</v>
          </cell>
          <cell r="D34">
            <v>2.1750842658705931</v>
          </cell>
          <cell r="E34">
            <v>2.9775031020072369</v>
          </cell>
        </row>
        <row r="35">
          <cell r="C35" t="str">
            <v>France</v>
          </cell>
          <cell r="D35">
            <v>3.2494349286175339</v>
          </cell>
          <cell r="E35">
            <v>3.2976821398107821</v>
          </cell>
        </row>
        <row r="36">
          <cell r="C36" t="str">
            <v>Belgium</v>
          </cell>
          <cell r="D36">
            <v>7.7711901497157028</v>
          </cell>
          <cell r="E36">
            <v>3.5</v>
          </cell>
        </row>
        <row r="37">
          <cell r="C37" t="str">
            <v>Netherlands</v>
          </cell>
          <cell r="D37">
            <v>3.7033816238177399</v>
          </cell>
          <cell r="E37">
            <v>3.550106530876461</v>
          </cell>
        </row>
        <row r="38">
          <cell r="C38" t="str">
            <v>Slovakia</v>
          </cell>
          <cell r="D38">
            <v>4.4274727326357572</v>
          </cell>
          <cell r="E38">
            <v>3.680011713414387</v>
          </cell>
        </row>
        <row r="39">
          <cell r="C39" t="str">
            <v>Czechia</v>
          </cell>
          <cell r="D39">
            <v>5.736547254041092</v>
          </cell>
          <cell r="E39">
            <v>3.9734241275119322</v>
          </cell>
        </row>
        <row r="40">
          <cell r="C40" t="str">
            <v>Portugal</v>
          </cell>
          <cell r="D40">
            <v>4.9940546532025216</v>
          </cell>
          <cell r="E40">
            <v>4.1820227372050542</v>
          </cell>
        </row>
        <row r="41">
          <cell r="C41" t="str">
            <v>Lithuania</v>
          </cell>
          <cell r="D41">
            <v>1.888140370955592</v>
          </cell>
          <cell r="E41">
            <v>4.2200650900718246</v>
          </cell>
        </row>
        <row r="42">
          <cell r="C42" t="str">
            <v xml:space="preserve">Ireland  </v>
          </cell>
          <cell r="D42">
            <v>9.956811496363061</v>
          </cell>
          <cell r="E42">
            <v>4.3674334566375528</v>
          </cell>
        </row>
        <row r="43">
          <cell r="C43" t="str">
            <v>Sweden</v>
          </cell>
          <cell r="D43">
            <v>2.1486302223078657</v>
          </cell>
          <cell r="E43">
            <v>4.3751977305983996</v>
          </cell>
        </row>
        <row r="44">
          <cell r="C44" t="str">
            <v>Luxembourg</v>
          </cell>
          <cell r="D44">
            <v>3.6400242149835429</v>
          </cell>
          <cell r="E44">
            <v>4.7623498564692595</v>
          </cell>
        </row>
        <row r="45">
          <cell r="C45" t="str">
            <v>Italy</v>
          </cell>
          <cell r="D45">
            <v>5.3858307321994836</v>
          </cell>
          <cell r="E45">
            <v>5.320670108822199</v>
          </cell>
        </row>
        <row r="46">
          <cell r="C46" t="str">
            <v>Germany</v>
          </cell>
          <cell r="D46">
            <v>5.4825268602583836</v>
          </cell>
          <cell r="E46">
            <v>5.9145771050993146</v>
          </cell>
        </row>
        <row r="47">
          <cell r="C47" t="str">
            <v>Denmark</v>
          </cell>
          <cell r="D47">
            <v>7.5521947083119363</v>
          </cell>
          <cell r="E47">
            <v>6.686206690420633</v>
          </cell>
        </row>
        <row r="49">
          <cell r="C49" t="str">
            <v xml:space="preserve">Liechtenstein </v>
          </cell>
          <cell r="D49">
            <v>2.6760202447306041</v>
          </cell>
          <cell r="E49">
            <v>0.28842860079015276</v>
          </cell>
        </row>
        <row r="50">
          <cell r="C50" t="str">
            <v xml:space="preserve">Iceland (²)  </v>
          </cell>
          <cell r="D50">
            <v>1.6252365733029839</v>
          </cell>
          <cell r="E50">
            <v>3.907897328973525</v>
          </cell>
        </row>
        <row r="52">
          <cell r="C52" t="str">
            <v>Bosnia and Herzegovina (²)</v>
          </cell>
          <cell r="D52" t="str">
            <v>:</v>
          </cell>
          <cell r="E52">
            <v>0.21641498822850716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2&amp;3"/>
      <sheetName val="table2"/>
      <sheetName val="figure4"/>
      <sheetName val="figure5"/>
      <sheetName val="figure6"/>
      <sheetName val="figure7"/>
      <sheetName val="figure8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>EU27_2020</v>
          </cell>
          <cell r="B6">
            <v>74660000</v>
          </cell>
          <cell r="C6">
            <v>74.66</v>
          </cell>
        </row>
        <row r="7">
          <cell r="A7" t="str">
            <v>BE</v>
          </cell>
          <cell r="B7">
            <v>2284076</v>
          </cell>
          <cell r="C7">
            <v>2.2840760000000002</v>
          </cell>
        </row>
        <row r="8">
          <cell r="A8" t="str">
            <v>BG</v>
          </cell>
          <cell r="B8">
            <v>13791874</v>
          </cell>
          <cell r="C8">
            <v>13.791874</v>
          </cell>
        </row>
        <row r="9">
          <cell r="A9" t="str">
            <v>CZ</v>
          </cell>
          <cell r="B9">
            <v>629832</v>
          </cell>
          <cell r="C9">
            <v>0.62983199999999995</v>
          </cell>
        </row>
        <row r="10">
          <cell r="A10" t="str">
            <v>DK</v>
          </cell>
          <cell r="B10">
            <v>1102204</v>
          </cell>
          <cell r="C10">
            <v>1.102204</v>
          </cell>
        </row>
        <row r="11">
          <cell r="A11" t="str">
            <v>DE</v>
          </cell>
          <cell r="B11">
            <v>21407959</v>
          </cell>
          <cell r="C11">
            <v>21.407959000000002</v>
          </cell>
        </row>
        <row r="12">
          <cell r="A12" t="str">
            <v>EE</v>
          </cell>
          <cell r="B12">
            <v>1474556</v>
          </cell>
          <cell r="C12">
            <v>1.474556</v>
          </cell>
        </row>
        <row r="13">
          <cell r="A13" t="str">
            <v>IE</v>
          </cell>
          <cell r="B13">
            <v>107699</v>
          </cell>
          <cell r="C13">
            <v>0.107699</v>
          </cell>
        </row>
        <row r="14">
          <cell r="A14" t="str">
            <v>EL</v>
          </cell>
          <cell r="B14">
            <v>468674</v>
          </cell>
          <cell r="C14">
            <v>0.46867399999999998</v>
          </cell>
        </row>
        <row r="15">
          <cell r="A15" t="str">
            <v>ES</v>
          </cell>
          <cell r="B15">
            <v>2180840</v>
          </cell>
          <cell r="C15">
            <v>2.1808399999999999</v>
          </cell>
        </row>
        <row r="16">
          <cell r="A16" t="str">
            <v>FR</v>
          </cell>
          <cell r="B16">
            <v>8118893</v>
          </cell>
          <cell r="C16">
            <v>8.1188929999999999</v>
          </cell>
        </row>
        <row r="17">
          <cell r="A17" t="str">
            <v>IT</v>
          </cell>
          <cell r="B17">
            <v>4412859</v>
          </cell>
          <cell r="C17">
            <v>4.4128590000000001</v>
          </cell>
        </row>
        <row r="18">
          <cell r="A18" t="str">
            <v>CY</v>
          </cell>
          <cell r="B18">
            <v>22434</v>
          </cell>
          <cell r="C18">
            <v>2.2433999999999999E-2</v>
          </cell>
        </row>
        <row r="19">
          <cell r="A19" t="str">
            <v>LV</v>
          </cell>
          <cell r="B19">
            <v>29714</v>
          </cell>
          <cell r="C19">
            <v>2.9714000000000001E-2</v>
          </cell>
        </row>
        <row r="20">
          <cell r="A20" t="str">
            <v>LT</v>
          </cell>
          <cell r="B20">
            <v>111292</v>
          </cell>
          <cell r="C20">
            <v>0.111292</v>
          </cell>
        </row>
        <row r="21">
          <cell r="A21" t="str">
            <v>LU</v>
          </cell>
          <cell r="B21">
            <v>75802</v>
          </cell>
          <cell r="C21">
            <v>7.5801999999999994E-2</v>
          </cell>
        </row>
        <row r="22">
          <cell r="A22" t="str">
            <v>HU</v>
          </cell>
          <cell r="B22">
            <v>421202</v>
          </cell>
          <cell r="C22">
            <v>0.42120200000000002</v>
          </cell>
        </row>
        <row r="23">
          <cell r="A23" t="str">
            <v>MT</v>
          </cell>
          <cell r="B23">
            <v>642</v>
          </cell>
          <cell r="C23">
            <v>6.4199999999999999E-4</v>
          </cell>
        </row>
        <row r="24">
          <cell r="A24" t="str">
            <v>NL</v>
          </cell>
          <cell r="B24">
            <v>4880877</v>
          </cell>
          <cell r="C24">
            <v>4.8808769999999999</v>
          </cell>
        </row>
        <row r="25">
          <cell r="A25" t="str">
            <v>AT</v>
          </cell>
          <cell r="B25">
            <v>402927</v>
          </cell>
          <cell r="C25">
            <v>0.40292699999999998</v>
          </cell>
        </row>
        <row r="26">
          <cell r="A26" t="str">
            <v>PL</v>
          </cell>
          <cell r="B26">
            <v>1616874</v>
          </cell>
          <cell r="C26">
            <v>1.6168739999999999</v>
          </cell>
        </row>
        <row r="27">
          <cell r="A27" t="str">
            <v>PT</v>
          </cell>
          <cell r="B27">
            <v>438967</v>
          </cell>
          <cell r="C27">
            <v>0.438967</v>
          </cell>
        </row>
        <row r="28">
          <cell r="A28" t="str">
            <v>RO</v>
          </cell>
          <cell r="B28">
            <v>374814</v>
          </cell>
          <cell r="C28">
            <v>0.37481399999999998</v>
          </cell>
        </row>
        <row r="29">
          <cell r="A29" t="str">
            <v>SI</v>
          </cell>
          <cell r="B29">
            <v>61234</v>
          </cell>
          <cell r="C29">
            <v>6.1233999999999997E-2</v>
          </cell>
        </row>
        <row r="30">
          <cell r="A30" t="str">
            <v>SK</v>
          </cell>
          <cell r="B30">
            <v>122686</v>
          </cell>
          <cell r="C30">
            <v>0.122686</v>
          </cell>
        </row>
        <row r="31">
          <cell r="A31" t="str">
            <v>FI</v>
          </cell>
          <cell r="B31">
            <v>3039892</v>
          </cell>
          <cell r="C31">
            <v>3.039892</v>
          </cell>
        </row>
        <row r="32">
          <cell r="A32" t="str">
            <v>SE</v>
          </cell>
          <cell r="B32">
            <v>6977211</v>
          </cell>
          <cell r="C32">
            <v>6.9772109999999996</v>
          </cell>
        </row>
        <row r="33">
          <cell r="A33" t="str">
            <v>UK</v>
          </cell>
          <cell r="C33">
            <v>0</v>
          </cell>
        </row>
        <row r="34">
          <cell r="A34" t="str">
            <v>HR</v>
          </cell>
          <cell r="B34">
            <v>105625</v>
          </cell>
          <cell r="C34">
            <v>0.105625</v>
          </cell>
        </row>
        <row r="35">
          <cell r="A35" t="str">
            <v>MK</v>
          </cell>
          <cell r="B35">
            <v>415955</v>
          </cell>
          <cell r="C35">
            <v>0.41595500000000002</v>
          </cell>
        </row>
        <row r="36">
          <cell r="A36" t="str">
            <v>TR</v>
          </cell>
          <cell r="B36">
            <v>38225847</v>
          </cell>
          <cell r="C36">
            <v>38.225847000000002</v>
          </cell>
        </row>
        <row r="37">
          <cell r="A37" t="str">
            <v>IS</v>
          </cell>
          <cell r="B37">
            <v>41484</v>
          </cell>
          <cell r="C37">
            <v>4.1484E-2</v>
          </cell>
        </row>
        <row r="38">
          <cell r="A38" t="str">
            <v>LI</v>
          </cell>
          <cell r="C38">
            <v>0</v>
          </cell>
        </row>
        <row r="39">
          <cell r="A39" t="str">
            <v>NO</v>
          </cell>
          <cell r="B39">
            <v>1400730</v>
          </cell>
          <cell r="C39">
            <v>1.40073</v>
          </cell>
        </row>
        <row r="40">
          <cell r="A40" t="str">
            <v>AL</v>
          </cell>
          <cell r="C40">
            <v>0</v>
          </cell>
        </row>
        <row r="41">
          <cell r="A41" t="str">
            <v>BA</v>
          </cell>
          <cell r="C41">
            <v>0</v>
          </cell>
        </row>
        <row r="42">
          <cell r="A42" t="str">
            <v>ME</v>
          </cell>
          <cell r="B42">
            <v>318505</v>
          </cell>
          <cell r="C42">
            <v>0.31850499999999998</v>
          </cell>
        </row>
        <row r="43">
          <cell r="A43" t="str">
            <v>RS</v>
          </cell>
          <cell r="B43">
            <v>11293866</v>
          </cell>
          <cell r="C43">
            <v>11.293866</v>
          </cell>
        </row>
        <row r="44">
          <cell r="A44" t="str">
            <v>XK</v>
          </cell>
          <cell r="B44">
            <v>2</v>
          </cell>
          <cell r="C44">
            <v>1.9999999999999999E-6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U58"/>
  <sheetViews>
    <sheetView showGridLines="0" topLeftCell="A20" zoomScaleNormal="100" workbookViewId="0">
      <selection activeCell="S49" sqref="S49"/>
    </sheetView>
  </sheetViews>
  <sheetFormatPr defaultColWidth="9.09765625" defaultRowHeight="12.5" x14ac:dyDescent="0.25"/>
  <cols>
    <col min="1" max="1" width="9.09765625" style="3"/>
    <col min="2" max="2" width="23.59765625" style="6" customWidth="1"/>
    <col min="3" max="8" width="14.3984375" style="6" customWidth="1"/>
    <col min="9" max="9" width="16.3984375" style="6" customWidth="1"/>
    <col min="10" max="1008" width="9.09765625" style="6"/>
    <col min="1009" max="16384" width="9.09765625" style="5"/>
  </cols>
  <sheetData>
    <row r="1" spans="1:1009" ht="13" x14ac:dyDescent="0.25"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</row>
    <row r="2" spans="1:1009" ht="13" x14ac:dyDescent="0.25">
      <c r="A2" s="7"/>
      <c r="B2" s="1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</row>
    <row r="3" spans="1:1009" ht="13" x14ac:dyDescent="0.25">
      <c r="A3" s="7"/>
      <c r="B3" s="1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</row>
    <row r="4" spans="1:1009" x14ac:dyDescent="0.25">
      <c r="A4" s="7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</row>
    <row r="5" spans="1:1009" s="177" customFormat="1" ht="15.5" x14ac:dyDescent="0.25">
      <c r="A5" s="8"/>
      <c r="B5" s="191" t="s">
        <v>164</v>
      </c>
      <c r="C5" s="1"/>
      <c r="D5" s="1"/>
      <c r="E5" s="1"/>
      <c r="F5" s="1"/>
      <c r="G5" s="1"/>
      <c r="H5" s="1"/>
    </row>
    <row r="6" spans="1:1009" ht="14" x14ac:dyDescent="0.25">
      <c r="A6" s="7"/>
      <c r="B6" s="207" t="s">
        <v>78</v>
      </c>
      <c r="C6" s="207"/>
      <c r="D6" s="207"/>
      <c r="E6" s="207"/>
      <c r="F6" s="207"/>
      <c r="G6" s="207"/>
      <c r="H6" s="207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</row>
    <row r="7" spans="1:1009" x14ac:dyDescent="0.25">
      <c r="A7" s="7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</row>
    <row r="8" spans="1:1009" s="10" customFormat="1" ht="37.5" customHeight="1" x14ac:dyDescent="0.25">
      <c r="A8" s="9"/>
      <c r="B8" s="194"/>
      <c r="C8" s="182" t="s">
        <v>2</v>
      </c>
      <c r="D8" s="181" t="s">
        <v>3</v>
      </c>
      <c r="E8" s="181" t="s">
        <v>4</v>
      </c>
      <c r="F8" s="181" t="s">
        <v>52</v>
      </c>
      <c r="G8" s="181" t="s">
        <v>5</v>
      </c>
      <c r="H8" s="181" t="s">
        <v>6</v>
      </c>
      <c r="I8" s="181" t="s">
        <v>7</v>
      </c>
    </row>
    <row r="9" spans="1:1009" ht="13" x14ac:dyDescent="0.25">
      <c r="A9" s="11" t="s">
        <v>121</v>
      </c>
      <c r="B9" s="186" t="s">
        <v>118</v>
      </c>
      <c r="C9" s="195">
        <v>22.688435910295908</v>
      </c>
      <c r="D9" s="187">
        <v>10.328150748728236</v>
      </c>
      <c r="E9" s="187">
        <v>2.996704162785699</v>
      </c>
      <c r="F9" s="187">
        <v>10.459357311743211</v>
      </c>
      <c r="G9" s="187">
        <v>38.433671276062192</v>
      </c>
      <c r="H9" s="187">
        <v>6.1429748513290816</v>
      </c>
      <c r="I9" s="187">
        <v>8.950705739055671</v>
      </c>
      <c r="J9" s="12"/>
      <c r="K9" s="13"/>
      <c r="L9" s="13"/>
      <c r="M9" s="13"/>
      <c r="N9" s="13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6"/>
    </row>
    <row r="10" spans="1:1009" ht="13" x14ac:dyDescent="0.25">
      <c r="A10" s="11" t="s">
        <v>79</v>
      </c>
      <c r="B10" s="188" t="s">
        <v>8</v>
      </c>
      <c r="C10" s="196">
        <v>1.898296759578217E-2</v>
      </c>
      <c r="D10" s="14">
        <v>12.556086040623901</v>
      </c>
      <c r="E10" s="14">
        <v>0.2412980869651396</v>
      </c>
      <c r="F10" s="14">
        <v>24.71424655195171</v>
      </c>
      <c r="G10" s="14">
        <v>41.412602583216149</v>
      </c>
      <c r="H10" s="14">
        <v>13.382176387097623</v>
      </c>
      <c r="I10" s="14">
        <v>7.6746073825496932</v>
      </c>
      <c r="J10" s="12"/>
      <c r="K10" s="13"/>
      <c r="L10" s="13"/>
      <c r="M10" s="13"/>
      <c r="N10" s="13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6"/>
    </row>
    <row r="11" spans="1:1009" ht="13" x14ac:dyDescent="0.25">
      <c r="A11" s="11" t="s">
        <v>80</v>
      </c>
      <c r="B11" s="15" t="s">
        <v>9</v>
      </c>
      <c r="C11" s="127">
        <v>72.444472258062149</v>
      </c>
      <c r="D11" s="16">
        <v>5.5015185778272819</v>
      </c>
      <c r="E11" s="16">
        <v>10.024293884787074</v>
      </c>
      <c r="F11" s="16">
        <v>4.3717499054976674</v>
      </c>
      <c r="G11" s="16">
        <v>1.5850477234846547</v>
      </c>
      <c r="H11" s="16">
        <v>3.4700062827004072</v>
      </c>
      <c r="I11" s="16">
        <v>2.6029113676407665</v>
      </c>
      <c r="J11" s="12"/>
      <c r="K11" s="13"/>
      <c r="L11" s="13"/>
      <c r="M11" s="13"/>
      <c r="N11" s="13"/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6"/>
    </row>
    <row r="12" spans="1:1009" ht="13" x14ac:dyDescent="0.25">
      <c r="A12" s="11" t="s">
        <v>81</v>
      </c>
      <c r="B12" s="15" t="s">
        <v>10</v>
      </c>
      <c r="C12" s="127">
        <v>0.25668543072886929</v>
      </c>
      <c r="D12" s="16">
        <v>12.547710064875584</v>
      </c>
      <c r="E12" s="16">
        <v>0.98191107661422217</v>
      </c>
      <c r="F12" s="16">
        <v>13.520601429783778</v>
      </c>
      <c r="G12" s="16">
        <v>43.80780333915596</v>
      </c>
      <c r="H12" s="16">
        <v>17.885595864864051</v>
      </c>
      <c r="I12" s="16">
        <v>10.999692793977538</v>
      </c>
      <c r="J12" s="12"/>
      <c r="K12" s="13"/>
      <c r="L12" s="13"/>
      <c r="M12" s="13"/>
      <c r="N12" s="13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6"/>
    </row>
    <row r="13" spans="1:1009" ht="13" x14ac:dyDescent="0.25">
      <c r="A13" s="11" t="s">
        <v>82</v>
      </c>
      <c r="B13" s="15" t="s">
        <v>11</v>
      </c>
      <c r="C13" s="127">
        <v>9.9269122255396094E-2</v>
      </c>
      <c r="D13" s="16">
        <v>5.5691304291248249</v>
      </c>
      <c r="E13" s="16">
        <v>4.0091021179310458</v>
      </c>
      <c r="F13" s="16">
        <v>7.6722948821071792</v>
      </c>
      <c r="G13" s="16">
        <v>56.086581339987262</v>
      </c>
      <c r="H13" s="16">
        <v>9.9959771835038715</v>
      </c>
      <c r="I13" s="16">
        <v>16.56764492509042</v>
      </c>
      <c r="J13" s="12"/>
      <c r="K13" s="13"/>
      <c r="L13" s="13"/>
      <c r="M13" s="13"/>
      <c r="N13" s="13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6"/>
    </row>
    <row r="14" spans="1:1009" ht="13" x14ac:dyDescent="0.25">
      <c r="A14" s="11" t="s">
        <v>83</v>
      </c>
      <c r="B14" s="15" t="s">
        <v>12</v>
      </c>
      <c r="C14" s="127">
        <v>1.287279116499227</v>
      </c>
      <c r="D14" s="16">
        <v>14.380652261937968</v>
      </c>
      <c r="E14" s="16">
        <v>2.0963030598596375</v>
      </c>
      <c r="F14" s="16">
        <v>13.068081208313373</v>
      </c>
      <c r="G14" s="16">
        <v>55.092878032603053</v>
      </c>
      <c r="H14" s="16">
        <v>4.658338317112892</v>
      </c>
      <c r="I14" s="16">
        <v>9.4164680036738488</v>
      </c>
      <c r="J14" s="12"/>
      <c r="K14" s="13"/>
      <c r="L14" s="13"/>
      <c r="M14" s="13"/>
      <c r="N14" s="13"/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6"/>
    </row>
    <row r="15" spans="1:1009" ht="13" x14ac:dyDescent="0.25">
      <c r="A15" s="11" t="s">
        <v>84</v>
      </c>
      <c r="B15" s="15" t="s">
        <v>13</v>
      </c>
      <c r="C15" s="127">
        <v>11.479902976974003</v>
      </c>
      <c r="D15" s="16">
        <v>17.222401437173598</v>
      </c>
      <c r="E15" s="16">
        <v>50.213133513850416</v>
      </c>
      <c r="F15" s="16">
        <v>3.4814647065620834</v>
      </c>
      <c r="G15" s="16">
        <v>9.0333629395744577</v>
      </c>
      <c r="H15" s="16">
        <v>5.9973284014873602</v>
      </c>
      <c r="I15" s="16">
        <v>2.5724060243780817</v>
      </c>
      <c r="J15" s="12"/>
      <c r="K15" s="13"/>
      <c r="L15" s="13"/>
      <c r="M15" s="13"/>
      <c r="N15" s="13"/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6"/>
    </row>
    <row r="16" spans="1:1009" ht="13" x14ac:dyDescent="0.25">
      <c r="A16" s="11" t="s">
        <v>85</v>
      </c>
      <c r="B16" s="15" t="s">
        <v>136</v>
      </c>
      <c r="C16" s="127">
        <v>8.825208059582156</v>
      </c>
      <c r="D16" s="16">
        <v>31.340689714843574</v>
      </c>
      <c r="E16" s="16">
        <v>1.6008417246050555</v>
      </c>
      <c r="F16" s="16">
        <v>13.366547897095792</v>
      </c>
      <c r="G16" s="16">
        <v>18.535057003660558</v>
      </c>
      <c r="H16" s="16">
        <v>14.343328150629562</v>
      </c>
      <c r="I16" s="16">
        <v>11.988327449583307</v>
      </c>
      <c r="J16" s="12"/>
      <c r="K16" s="13"/>
      <c r="L16" s="13"/>
      <c r="M16" s="13"/>
      <c r="N16" s="13"/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6"/>
    </row>
    <row r="17" spans="1:1009" ht="13" x14ac:dyDescent="0.25">
      <c r="A17" s="11" t="s">
        <v>86</v>
      </c>
      <c r="B17" s="15" t="s">
        <v>178</v>
      </c>
      <c r="C17" s="127">
        <v>11.554517104189182</v>
      </c>
      <c r="D17" s="16">
        <v>14.474434030315022</v>
      </c>
      <c r="E17" s="16">
        <v>5.7620539343163868</v>
      </c>
      <c r="F17" s="16">
        <v>13.534721597078301</v>
      </c>
      <c r="G17" s="16">
        <v>33.503792688808417</v>
      </c>
      <c r="H17" s="16">
        <v>7.7747161790711701</v>
      </c>
      <c r="I17" s="16">
        <v>13.395764466221523</v>
      </c>
      <c r="J17" s="12"/>
      <c r="K17" s="13"/>
      <c r="L17" s="13"/>
      <c r="M17" s="13"/>
      <c r="N17" s="13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6"/>
    </row>
    <row r="18" spans="1:1009" ht="13" x14ac:dyDescent="0.25">
      <c r="A18" s="11" t="s">
        <v>87</v>
      </c>
      <c r="B18" s="15" t="s">
        <v>14</v>
      </c>
      <c r="C18" s="127">
        <v>7.0285185407833737</v>
      </c>
      <c r="D18" s="16">
        <v>12.00217005416439</v>
      </c>
      <c r="E18" s="16">
        <v>0.8333828663830225</v>
      </c>
      <c r="F18" s="16">
        <v>19.601224896031255</v>
      </c>
      <c r="G18" s="16">
        <v>30.598066826388237</v>
      </c>
      <c r="H18" s="16">
        <v>9.9252884005530593</v>
      </c>
      <c r="I18" s="16">
        <v>20.011348415696663</v>
      </c>
      <c r="J18" s="12"/>
      <c r="K18" s="13"/>
      <c r="L18" s="13"/>
      <c r="M18" s="13"/>
      <c r="N18" s="13"/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6"/>
    </row>
    <row r="19" spans="1:1009" ht="13" x14ac:dyDescent="0.25">
      <c r="A19" s="11" t="s">
        <v>88</v>
      </c>
      <c r="B19" s="15" t="s">
        <v>15</v>
      </c>
      <c r="C19" s="127">
        <v>9.4862806806589983E-2</v>
      </c>
      <c r="D19" s="16">
        <v>5.345011056265184</v>
      </c>
      <c r="E19" s="16">
        <v>0.24032271920412929</v>
      </c>
      <c r="F19" s="16">
        <v>7.3217190373354519</v>
      </c>
      <c r="G19" s="16">
        <v>71.623703863280937</v>
      </c>
      <c r="H19" s="16">
        <v>5.3259216101104334</v>
      </c>
      <c r="I19" s="16">
        <v>10.04845890699727</v>
      </c>
      <c r="J19" s="12"/>
      <c r="L19" s="13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6"/>
    </row>
    <row r="20" spans="1:1009" ht="13" x14ac:dyDescent="0.25">
      <c r="A20" s="11" t="s">
        <v>89</v>
      </c>
      <c r="B20" s="15" t="s">
        <v>16</v>
      </c>
      <c r="C20" s="127">
        <v>9.9649141219812645</v>
      </c>
      <c r="D20" s="16">
        <v>7.6445656105354685</v>
      </c>
      <c r="E20" s="16">
        <v>1.4252156754539356</v>
      </c>
      <c r="F20" s="16">
        <v>20.109390861082378</v>
      </c>
      <c r="G20" s="16">
        <v>24.805921715269466</v>
      </c>
      <c r="H20" s="16">
        <v>18.763002737240178</v>
      </c>
      <c r="I20" s="16">
        <v>17.286989278437307</v>
      </c>
      <c r="J20" s="12"/>
      <c r="L20" s="13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6"/>
    </row>
    <row r="21" spans="1:1009" ht="13" x14ac:dyDescent="0.25">
      <c r="A21" s="11" t="s">
        <v>90</v>
      </c>
      <c r="B21" s="15" t="s">
        <v>17</v>
      </c>
      <c r="C21" s="127">
        <v>0.77979088448538414</v>
      </c>
      <c r="D21" s="16">
        <v>14.867471908763536</v>
      </c>
      <c r="E21" s="16">
        <v>1.1692408060961741</v>
      </c>
      <c r="F21" s="16">
        <v>21.535306196465019</v>
      </c>
      <c r="G21" s="16">
        <v>42.539443123266651</v>
      </c>
      <c r="H21" s="16">
        <v>3.7799479219353525</v>
      </c>
      <c r="I21" s="16">
        <v>15.328799158987879</v>
      </c>
      <c r="J21" s="12"/>
      <c r="L21" s="13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6"/>
    </row>
    <row r="22" spans="1:1009" ht="13" x14ac:dyDescent="0.25">
      <c r="A22" s="11" t="s">
        <v>91</v>
      </c>
      <c r="B22" s="15" t="s">
        <v>49</v>
      </c>
      <c r="C22" s="127">
        <v>5.4211585477406157</v>
      </c>
      <c r="D22" s="16">
        <v>14.986345568546577</v>
      </c>
      <c r="E22" s="16">
        <v>6.3432401417000683E-2</v>
      </c>
      <c r="F22" s="16">
        <v>12.51936733913217</v>
      </c>
      <c r="G22" s="16">
        <v>28.025645716566601</v>
      </c>
      <c r="H22" s="16">
        <v>26.287757579789446</v>
      </c>
      <c r="I22" s="16">
        <v>12.696292846807591</v>
      </c>
      <c r="J22" s="12"/>
      <c r="L22" s="13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6"/>
    </row>
    <row r="23" spans="1:1009" ht="13" x14ac:dyDescent="0.25">
      <c r="A23" s="11" t="s">
        <v>92</v>
      </c>
      <c r="B23" s="15" t="s">
        <v>18</v>
      </c>
      <c r="C23" s="127">
        <v>5.5874434906283334E-2</v>
      </c>
      <c r="D23" s="16">
        <v>12.25913898975662</v>
      </c>
      <c r="E23" s="16">
        <v>1.0556148607598683</v>
      </c>
      <c r="F23" s="16">
        <v>36.286105903851976</v>
      </c>
      <c r="G23" s="16">
        <v>12.452279752936606</v>
      </c>
      <c r="H23" s="16">
        <v>9.8580181413931172</v>
      </c>
      <c r="I23" s="16">
        <v>28.032967916395528</v>
      </c>
      <c r="J23" s="12"/>
      <c r="L23" s="13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6"/>
    </row>
    <row r="24" spans="1:1009" ht="13" x14ac:dyDescent="0.25">
      <c r="A24" s="11" t="s">
        <v>93</v>
      </c>
      <c r="B24" s="15" t="s">
        <v>19</v>
      </c>
      <c r="C24" s="127">
        <v>0.38119651489561257</v>
      </c>
      <c r="D24" s="16">
        <v>19.196863970212299</v>
      </c>
      <c r="E24" s="16">
        <v>3.7864016050379576</v>
      </c>
      <c r="F24" s="16">
        <v>23.096203549277696</v>
      </c>
      <c r="G24" s="16">
        <v>9.859030277814016</v>
      </c>
      <c r="H24" s="16">
        <v>18.743102250649667</v>
      </c>
      <c r="I24" s="16">
        <v>24.937201832112748</v>
      </c>
      <c r="J24" s="12"/>
      <c r="L24" s="13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6"/>
    </row>
    <row r="25" spans="1:1009" ht="13" x14ac:dyDescent="0.25">
      <c r="A25" s="11" t="s">
        <v>94</v>
      </c>
      <c r="B25" s="15" t="s">
        <v>20</v>
      </c>
      <c r="C25" s="127">
        <v>8.2308083719518965</v>
      </c>
      <c r="D25" s="16">
        <v>5.9658802715713239</v>
      </c>
      <c r="E25" s="16">
        <v>0.21447597779212685</v>
      </c>
      <c r="F25" s="16">
        <v>4.4562915863904253</v>
      </c>
      <c r="G25" s="16">
        <v>75.281209520157446</v>
      </c>
      <c r="H25" s="16">
        <v>3.2014032187748849</v>
      </c>
      <c r="I25" s="16">
        <v>2.649931053361902</v>
      </c>
      <c r="J25" s="12"/>
      <c r="L25" s="13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6"/>
    </row>
    <row r="26" spans="1:1009" ht="13" x14ac:dyDescent="0.25">
      <c r="A26" s="11" t="s">
        <v>95</v>
      </c>
      <c r="B26" s="15" t="s">
        <v>21</v>
      </c>
      <c r="C26" s="127">
        <v>0.20719647847449268</v>
      </c>
      <c r="D26" s="16">
        <v>15.950380828873586</v>
      </c>
      <c r="E26" s="16">
        <v>18.330603298690388</v>
      </c>
      <c r="F26" s="16">
        <v>4.0058265904400079</v>
      </c>
      <c r="G26" s="16">
        <v>37.446039197062959</v>
      </c>
      <c r="H26" s="16">
        <v>6.1552393651025588</v>
      </c>
      <c r="I26" s="16">
        <v>17.904714241356007</v>
      </c>
      <c r="J26" s="12"/>
      <c r="L26" s="13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6"/>
    </row>
    <row r="27" spans="1:1009" ht="13" x14ac:dyDescent="0.25">
      <c r="A27" s="11" t="s">
        <v>96</v>
      </c>
      <c r="B27" s="15" t="s">
        <v>22</v>
      </c>
      <c r="C27" s="127">
        <v>1.5167043890848115</v>
      </c>
      <c r="D27" s="16">
        <v>0.88702825045680478</v>
      </c>
      <c r="E27" s="16">
        <v>2.6693937092541488E-3</v>
      </c>
      <c r="F27" s="16">
        <v>6.3847761844964612</v>
      </c>
      <c r="G27" s="16">
        <v>77.749174743775811</v>
      </c>
      <c r="H27" s="16">
        <v>6.0553504425178017</v>
      </c>
      <c r="I27" s="16">
        <v>7.4042965959590648</v>
      </c>
      <c r="J27" s="12"/>
      <c r="L27" s="13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6"/>
    </row>
    <row r="28" spans="1:1009" ht="13" x14ac:dyDescent="0.25">
      <c r="A28" s="11" t="s">
        <v>97</v>
      </c>
      <c r="B28" s="15" t="s">
        <v>23</v>
      </c>
      <c r="C28" s="127">
        <v>6.1280834583059274E-2</v>
      </c>
      <c r="D28" s="16">
        <v>10.778876126048193</v>
      </c>
      <c r="E28" s="16">
        <v>0.51432817044424339</v>
      </c>
      <c r="F28" s="16">
        <v>7.6755926881234977</v>
      </c>
      <c r="G28" s="16">
        <v>64.673989788437709</v>
      </c>
      <c r="H28" s="16">
        <v>9.5451185328085639</v>
      </c>
      <c r="I28" s="16">
        <v>6.7508138595547464</v>
      </c>
      <c r="J28" s="12"/>
      <c r="L28" s="13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6"/>
    </row>
    <row r="29" spans="1:1009" ht="13" x14ac:dyDescent="0.25">
      <c r="A29" s="11" t="s">
        <v>98</v>
      </c>
      <c r="B29" s="15" t="s">
        <v>24</v>
      </c>
      <c r="C29" s="127">
        <v>2.744694437206634E-2</v>
      </c>
      <c r="D29" s="16">
        <v>7.854837724493076</v>
      </c>
      <c r="E29" s="16">
        <v>0.64988477895955843</v>
      </c>
      <c r="F29" s="16">
        <v>3.8905133312341329</v>
      </c>
      <c r="G29" s="16">
        <v>76.624253357555276</v>
      </c>
      <c r="H29" s="16">
        <v>4.8522186699837722</v>
      </c>
      <c r="I29" s="16">
        <v>6.1008451934021215</v>
      </c>
      <c r="J29" s="12"/>
      <c r="L29" s="13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6"/>
    </row>
    <row r="30" spans="1:1009" ht="13" x14ac:dyDescent="0.25">
      <c r="A30" s="11" t="s">
        <v>99</v>
      </c>
      <c r="B30" s="15" t="s">
        <v>25</v>
      </c>
      <c r="C30" s="127">
        <v>36.488840302801378</v>
      </c>
      <c r="D30" s="16">
        <v>14.771615572484359</v>
      </c>
      <c r="E30" s="16">
        <v>7.9417257586207919</v>
      </c>
      <c r="F30" s="16">
        <v>13.900355139071504</v>
      </c>
      <c r="G30" s="16">
        <v>12.310389139515001</v>
      </c>
      <c r="H30" s="16">
        <v>6.6136144135374746</v>
      </c>
      <c r="I30" s="16">
        <v>7.9734596739694892</v>
      </c>
      <c r="J30" s="12"/>
      <c r="L30" s="13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6"/>
    </row>
    <row r="31" spans="1:1009" ht="13" x14ac:dyDescent="0.25">
      <c r="A31" s="11" t="s">
        <v>100</v>
      </c>
      <c r="B31" s="15" t="s">
        <v>26</v>
      </c>
      <c r="C31" s="127">
        <v>0.21994991435565012</v>
      </c>
      <c r="D31" s="16">
        <v>15.678946387259392</v>
      </c>
      <c r="E31" s="16">
        <v>1.111136846987979</v>
      </c>
      <c r="F31" s="16">
        <v>20.501370707540588</v>
      </c>
      <c r="G31" s="16">
        <v>19.695996485046088</v>
      </c>
      <c r="H31" s="16">
        <v>15.634565604531156</v>
      </c>
      <c r="I31" s="16">
        <v>27.158034054279138</v>
      </c>
      <c r="J31" s="12"/>
      <c r="L31" s="13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6"/>
    </row>
    <row r="32" spans="1:1009" ht="13" x14ac:dyDescent="0.25">
      <c r="A32" s="11" t="s">
        <v>101</v>
      </c>
      <c r="B32" s="15" t="s">
        <v>27</v>
      </c>
      <c r="C32" s="127">
        <v>85.243037848199975</v>
      </c>
      <c r="D32" s="16">
        <v>4.1149889999635718</v>
      </c>
      <c r="E32" s="16">
        <v>3.436518592899179</v>
      </c>
      <c r="F32" s="16">
        <v>1.8456224229412572</v>
      </c>
      <c r="G32" s="16">
        <v>0.46391520400459096</v>
      </c>
      <c r="H32" s="16">
        <v>2.0882391854572462</v>
      </c>
      <c r="I32" s="16">
        <v>2.8076777465341829</v>
      </c>
      <c r="J32" s="12"/>
      <c r="L32" s="13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6"/>
    </row>
    <row r="33" spans="1:1009" ht="13" x14ac:dyDescent="0.25">
      <c r="A33" s="11" t="s">
        <v>102</v>
      </c>
      <c r="B33" s="15" t="s">
        <v>28</v>
      </c>
      <c r="C33" s="127">
        <v>0.1043994806079785</v>
      </c>
      <c r="D33" s="16">
        <v>12.916481643639596</v>
      </c>
      <c r="E33" s="16">
        <v>4.3183628870153923</v>
      </c>
      <c r="F33" s="16">
        <v>3.4156552025785034</v>
      </c>
      <c r="G33" s="16">
        <v>6.5666229395335689</v>
      </c>
      <c r="H33" s="16">
        <v>66.995026616121677</v>
      </c>
      <c r="I33" s="16">
        <v>5.6834512305032812</v>
      </c>
      <c r="J33" s="12"/>
      <c r="L33" s="13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6"/>
    </row>
    <row r="34" spans="1:1009" ht="13" x14ac:dyDescent="0.25">
      <c r="A34" s="11" t="s">
        <v>103</v>
      </c>
      <c r="B34" s="15" t="s">
        <v>29</v>
      </c>
      <c r="C34" s="127">
        <v>1.1980226583976821</v>
      </c>
      <c r="D34" s="16">
        <v>26.955786496999636</v>
      </c>
      <c r="E34" s="16">
        <v>6.723330857144652</v>
      </c>
      <c r="F34" s="16">
        <v>9.446617445001019</v>
      </c>
      <c r="G34" s="16">
        <v>9.7501088411302366</v>
      </c>
      <c r="H34" s="16">
        <v>26.502557224411344</v>
      </c>
      <c r="I34" s="16">
        <v>19.423576476915436</v>
      </c>
      <c r="J34" s="12"/>
      <c r="K34" s="13"/>
      <c r="L34" s="13"/>
      <c r="M34" s="13"/>
      <c r="N34" s="13"/>
      <c r="O34" s="1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6"/>
    </row>
    <row r="35" spans="1:1009" ht="13" x14ac:dyDescent="0.25">
      <c r="A35" s="11" t="s">
        <v>104</v>
      </c>
      <c r="B35" s="15" t="s">
        <v>30</v>
      </c>
      <c r="C35" s="127">
        <v>76.398729327072942</v>
      </c>
      <c r="D35" s="16">
        <v>9.3774762360505619</v>
      </c>
      <c r="E35" s="16">
        <v>0.87673512505429885</v>
      </c>
      <c r="F35" s="16">
        <v>1.0048215226287427</v>
      </c>
      <c r="G35" s="16">
        <v>9.629466515110904</v>
      </c>
      <c r="H35" s="16">
        <v>1.2011625049052768</v>
      </c>
      <c r="I35" s="16">
        <v>1.5116087691772671</v>
      </c>
      <c r="J35" s="12"/>
      <c r="K35" s="13"/>
      <c r="L35" s="13"/>
      <c r="M35" s="13"/>
      <c r="N35" s="13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6"/>
    </row>
    <row r="36" spans="1:1009" ht="13" x14ac:dyDescent="0.25">
      <c r="A36" s="11" t="s">
        <v>105</v>
      </c>
      <c r="B36" s="17" t="s">
        <v>170</v>
      </c>
      <c r="C36" s="197">
        <v>77.322200594052632</v>
      </c>
      <c r="D36" s="18"/>
      <c r="E36" s="18">
        <v>1.2226851388582205</v>
      </c>
      <c r="F36" s="18">
        <v>5.153939367105508</v>
      </c>
      <c r="G36" s="18">
        <v>8.2896886205642861</v>
      </c>
      <c r="H36" s="18"/>
      <c r="I36" s="18">
        <v>2.620175308565603</v>
      </c>
      <c r="J36" s="12"/>
      <c r="K36" s="13"/>
      <c r="L36" s="13"/>
      <c r="M36" s="13"/>
      <c r="N36" s="13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6"/>
    </row>
    <row r="37" spans="1:1009" ht="13" x14ac:dyDescent="0.25">
      <c r="A37" s="11" t="s">
        <v>106</v>
      </c>
      <c r="B37" s="19" t="s">
        <v>171</v>
      </c>
      <c r="C37" s="198">
        <v>0</v>
      </c>
      <c r="D37" s="20">
        <v>24.205794497706197</v>
      </c>
      <c r="E37" s="20">
        <v>2.6015573525572083E-2</v>
      </c>
      <c r="F37" s="20">
        <v>2.0360014063491194</v>
      </c>
      <c r="G37" s="20">
        <v>3.5848706243643385</v>
      </c>
      <c r="H37" s="20">
        <v>30.96324546164918</v>
      </c>
      <c r="I37" s="20">
        <v>39.184072436405593</v>
      </c>
      <c r="J37" s="12"/>
      <c r="K37" s="13"/>
      <c r="L37" s="13"/>
      <c r="M37" s="13"/>
      <c r="N37" s="13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6"/>
    </row>
    <row r="38" spans="1:1009" ht="13" x14ac:dyDescent="0.25">
      <c r="A38" s="11" t="s">
        <v>107</v>
      </c>
      <c r="B38" s="15" t="s">
        <v>141</v>
      </c>
      <c r="C38" s="127">
        <v>0</v>
      </c>
      <c r="D38" s="16">
        <v>0.56132818744433532</v>
      </c>
      <c r="E38" s="16">
        <v>0</v>
      </c>
      <c r="F38" s="16">
        <v>0.28112082943204914</v>
      </c>
      <c r="G38" s="16">
        <v>91.789718879170564</v>
      </c>
      <c r="H38" s="16">
        <v>9.2488981250999108E-2</v>
      </c>
      <c r="I38" s="16">
        <v>7.275343122702048</v>
      </c>
      <c r="J38" s="12"/>
      <c r="K38" s="13"/>
      <c r="L38" s="13"/>
      <c r="M38" s="13"/>
      <c r="N38" s="13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6"/>
    </row>
    <row r="39" spans="1:1009" ht="13" x14ac:dyDescent="0.25">
      <c r="A39" s="11" t="s">
        <v>108</v>
      </c>
      <c r="B39" s="21" t="s">
        <v>32</v>
      </c>
      <c r="C39" s="129">
        <v>1.5696915996401644</v>
      </c>
      <c r="D39" s="22">
        <v>13.855011974939679</v>
      </c>
      <c r="E39" s="22">
        <v>2.0445091912548796</v>
      </c>
      <c r="F39" s="22">
        <v>8.6865506754680624</v>
      </c>
      <c r="G39" s="22">
        <v>39.25293580602029</v>
      </c>
      <c r="H39" s="22">
        <v>18.666599919661479</v>
      </c>
      <c r="I39" s="22">
        <v>15.924700833015443</v>
      </c>
      <c r="J39" s="12"/>
      <c r="K39" s="13"/>
      <c r="L39" s="13"/>
      <c r="M39" s="13"/>
      <c r="N39" s="13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6"/>
    </row>
    <row r="40" spans="1:1009" ht="13" x14ac:dyDescent="0.25">
      <c r="A40" s="11" t="s">
        <v>109</v>
      </c>
      <c r="B40" s="188" t="s">
        <v>33</v>
      </c>
      <c r="C40" s="198">
        <v>21.043247908098593</v>
      </c>
      <c r="D40" s="20">
        <v>1.827074752085579</v>
      </c>
      <c r="E40" s="20">
        <v>26.629659953404417</v>
      </c>
      <c r="F40" s="20">
        <v>0.66092072112512212</v>
      </c>
      <c r="G40" s="20">
        <v>18.403753568165797</v>
      </c>
      <c r="H40" s="20">
        <v>11.213445070004015</v>
      </c>
      <c r="I40" s="20">
        <v>20.221898027116481</v>
      </c>
      <c r="J40" s="12"/>
      <c r="K40" s="13"/>
      <c r="L40" s="13"/>
      <c r="M40" s="13"/>
      <c r="N40" s="13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6"/>
    </row>
    <row r="41" spans="1:1009" ht="15.75" customHeight="1" x14ac:dyDescent="0.25">
      <c r="A41" s="11" t="s">
        <v>110</v>
      </c>
      <c r="B41" s="23" t="s">
        <v>34</v>
      </c>
      <c r="C41" s="127">
        <v>26.100456016684028</v>
      </c>
      <c r="D41" s="16">
        <v>25.803937509486126</v>
      </c>
      <c r="E41" s="16">
        <v>0.53999349823039478</v>
      </c>
      <c r="F41" s="16">
        <v>11.465592351650153</v>
      </c>
      <c r="G41" s="16">
        <v>3.3854892896737931</v>
      </c>
      <c r="H41" s="16">
        <v>6.0704890559672116</v>
      </c>
      <c r="I41" s="16">
        <v>26.6340422783083</v>
      </c>
      <c r="J41" s="12"/>
      <c r="K41" s="13"/>
      <c r="L41" s="13"/>
      <c r="M41" s="13"/>
      <c r="N41" s="13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6"/>
    </row>
    <row r="42" spans="1:1009" ht="13" x14ac:dyDescent="0.25">
      <c r="A42" s="11" t="s">
        <v>111</v>
      </c>
      <c r="B42" s="15" t="s">
        <v>35</v>
      </c>
      <c r="C42" s="127">
        <v>93.229224839651465</v>
      </c>
      <c r="D42" s="16">
        <v>0.60623510295746241</v>
      </c>
      <c r="E42" s="16">
        <v>3.6922752216220407</v>
      </c>
      <c r="F42" s="16">
        <v>0.54852166000784219</v>
      </c>
      <c r="G42" s="16">
        <v>0.3562513117719503</v>
      </c>
      <c r="H42" s="16">
        <v>0.30949168049664305</v>
      </c>
      <c r="I42" s="16">
        <v>1.2580001834925996</v>
      </c>
      <c r="J42" s="12"/>
      <c r="K42" s="13"/>
      <c r="L42" s="13"/>
      <c r="M42" s="13"/>
      <c r="N42" s="13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6"/>
    </row>
    <row r="43" spans="1:1009" ht="13" x14ac:dyDescent="0.25">
      <c r="A43" s="11" t="s">
        <v>112</v>
      </c>
      <c r="B43" s="21" t="s">
        <v>139</v>
      </c>
      <c r="C43" s="197">
        <v>24.072611050869888</v>
      </c>
      <c r="D43" s="18">
        <v>20.343183270459441</v>
      </c>
      <c r="E43" s="18">
        <v>25.362112139101285</v>
      </c>
      <c r="F43" s="18">
        <v>0.31888079344858011</v>
      </c>
      <c r="G43" s="18">
        <v>0</v>
      </c>
      <c r="H43" s="18">
        <v>5.3391995740071154</v>
      </c>
      <c r="I43" s="18">
        <v>24.56401317211369</v>
      </c>
      <c r="J43" s="12"/>
      <c r="K43" s="13"/>
      <c r="L43" s="13"/>
      <c r="M43" s="13"/>
      <c r="N43" s="13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6"/>
    </row>
    <row r="44" spans="1:1009" ht="13" x14ac:dyDescent="0.25">
      <c r="A44" s="11"/>
      <c r="B44" s="19" t="s">
        <v>190</v>
      </c>
      <c r="C44" s="198">
        <v>0.97809852359993132</v>
      </c>
      <c r="D44" s="20">
        <v>67.972413509508556</v>
      </c>
      <c r="E44" s="20">
        <v>0</v>
      </c>
      <c r="F44" s="20">
        <v>6.1809658502628091</v>
      </c>
      <c r="G44" s="20">
        <v>0</v>
      </c>
      <c r="H44" s="20">
        <v>24.868522116628704</v>
      </c>
      <c r="I44" s="20">
        <v>0</v>
      </c>
      <c r="J44" s="12"/>
      <c r="K44" s="13"/>
      <c r="L44" s="13"/>
      <c r="M44" s="13"/>
      <c r="N44" s="13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6"/>
    </row>
    <row r="45" spans="1:1009" ht="13" x14ac:dyDescent="0.25">
      <c r="A45" s="11" t="s">
        <v>113</v>
      </c>
      <c r="B45" s="126" t="s">
        <v>75</v>
      </c>
      <c r="C45" s="127">
        <v>0.21958950443707126</v>
      </c>
      <c r="D45" s="16">
        <v>35.578221207379698</v>
      </c>
      <c r="E45" s="16">
        <v>47.154441019261419</v>
      </c>
      <c r="F45" s="16">
        <v>0</v>
      </c>
      <c r="G45" s="16">
        <v>1.6003106836167569</v>
      </c>
      <c r="H45" s="16">
        <v>0.47506554489684433</v>
      </c>
      <c r="I45" s="16">
        <v>14.972372040408208</v>
      </c>
      <c r="J45" s="12"/>
      <c r="K45" s="13"/>
      <c r="L45" s="13"/>
      <c r="M45" s="13"/>
      <c r="N45" s="13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6"/>
    </row>
    <row r="46" spans="1:1009" ht="13" x14ac:dyDescent="0.25">
      <c r="A46" s="11" t="s">
        <v>114</v>
      </c>
      <c r="B46" s="17" t="s">
        <v>191</v>
      </c>
      <c r="C46" s="129">
        <v>0.30215778987969694</v>
      </c>
      <c r="D46" s="22">
        <v>10.155087079628764</v>
      </c>
      <c r="E46" s="22">
        <v>84.638359720044647</v>
      </c>
      <c r="F46" s="22">
        <v>0.40275595997991065</v>
      </c>
      <c r="G46" s="22">
        <v>2.4925520117968989</v>
      </c>
      <c r="H46" s="22">
        <v>1.9976138586315682</v>
      </c>
      <c r="I46" s="22">
        <v>1.1473580038513691E-2</v>
      </c>
      <c r="J46" s="12"/>
      <c r="K46" s="13"/>
      <c r="L46" s="13"/>
      <c r="M46" s="13"/>
      <c r="N46" s="13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6"/>
    </row>
    <row r="47" spans="1:1009" ht="13" x14ac:dyDescent="0.25">
      <c r="A47" s="11"/>
      <c r="B47" s="177"/>
      <c r="C47" s="25"/>
      <c r="D47" s="25"/>
      <c r="E47" s="25"/>
      <c r="F47" s="25"/>
      <c r="G47" s="25"/>
      <c r="H47" s="25"/>
      <c r="I47" s="25"/>
      <c r="J47" s="12"/>
      <c r="K47" s="13"/>
      <c r="L47" s="13"/>
      <c r="M47" s="13"/>
      <c r="N47" s="13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6"/>
    </row>
    <row r="48" spans="1:1009" ht="17.5" customHeight="1" x14ac:dyDescent="0.25">
      <c r="A48" s="11"/>
      <c r="B48" s="2" t="s">
        <v>198</v>
      </c>
      <c r="C48" s="25"/>
      <c r="D48" s="25"/>
      <c r="E48" s="25"/>
      <c r="F48" s="25"/>
      <c r="G48" s="25"/>
      <c r="H48" s="25"/>
      <c r="I48" s="25"/>
      <c r="J48" s="12"/>
      <c r="K48" s="13"/>
      <c r="L48" s="13"/>
      <c r="M48" s="13"/>
      <c r="N48" s="13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6"/>
    </row>
    <row r="49" spans="1:1009" ht="14.5" customHeight="1" x14ac:dyDescent="0.25">
      <c r="A49" s="11"/>
      <c r="B49" s="2" t="s">
        <v>199</v>
      </c>
      <c r="C49" s="25"/>
      <c r="D49" s="25"/>
      <c r="E49" s="25"/>
      <c r="F49" s="25"/>
      <c r="G49" s="25"/>
      <c r="H49" s="25"/>
      <c r="I49" s="25"/>
      <c r="J49" s="12"/>
      <c r="K49" s="13"/>
      <c r="L49" s="13"/>
      <c r="M49" s="13"/>
      <c r="N49" s="13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6"/>
    </row>
    <row r="50" spans="1:1009" ht="14.5" customHeight="1" x14ac:dyDescent="0.25">
      <c r="A50" s="11"/>
      <c r="B50" s="2" t="s">
        <v>200</v>
      </c>
      <c r="C50" s="25"/>
      <c r="D50" s="25"/>
      <c r="E50" s="25"/>
      <c r="F50" s="25"/>
      <c r="G50" s="25"/>
      <c r="H50" s="25"/>
      <c r="I50" s="25"/>
      <c r="J50" s="12"/>
      <c r="K50" s="13"/>
      <c r="L50" s="13"/>
      <c r="M50" s="13"/>
      <c r="N50" s="13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6"/>
    </row>
    <row r="51" spans="1:1009" ht="14.5" customHeight="1" x14ac:dyDescent="0.25">
      <c r="A51" s="11"/>
      <c r="B51" s="2" t="s">
        <v>201</v>
      </c>
      <c r="C51" s="25"/>
      <c r="D51" s="25"/>
      <c r="E51" s="25"/>
      <c r="F51" s="25"/>
      <c r="G51" s="25"/>
      <c r="H51" s="25"/>
      <c r="I51" s="25"/>
      <c r="J51" s="12"/>
      <c r="K51" s="13"/>
      <c r="L51" s="13"/>
      <c r="M51" s="13"/>
      <c r="N51" s="13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6"/>
    </row>
    <row r="52" spans="1:1009" ht="26.25" customHeight="1" x14ac:dyDescent="0.25">
      <c r="B52" s="208" t="s">
        <v>192</v>
      </c>
      <c r="C52" s="208"/>
      <c r="D52" s="208"/>
      <c r="E52" s="208"/>
      <c r="F52" s="208"/>
      <c r="G52" s="208"/>
      <c r="H52" s="208"/>
      <c r="I52" s="5"/>
      <c r="J52" s="13"/>
      <c r="K52" s="13"/>
      <c r="L52" s="13"/>
      <c r="M52" s="13"/>
      <c r="N52" s="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</row>
    <row r="53" spans="1:1009" ht="13" x14ac:dyDescent="0.25">
      <c r="A53" s="7"/>
      <c r="B53" s="26" t="s">
        <v>174</v>
      </c>
      <c r="C53" s="13"/>
      <c r="D53" s="13"/>
      <c r="E53" s="13"/>
      <c r="F53" s="13"/>
      <c r="G53" s="13"/>
      <c r="H53" s="13"/>
      <c r="I53" s="1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</row>
    <row r="54" spans="1:1009" x14ac:dyDescent="0.25">
      <c r="A54" s="7"/>
      <c r="B54" s="5"/>
      <c r="C54" s="13"/>
      <c r="D54" s="13"/>
      <c r="E54" s="13"/>
      <c r="F54" s="13"/>
      <c r="G54" s="13"/>
      <c r="H54" s="13"/>
      <c r="I54" s="13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</row>
    <row r="55" spans="1:1009" x14ac:dyDescent="0.25">
      <c r="A55" s="7"/>
      <c r="B55" s="5"/>
      <c r="C55" s="5"/>
      <c r="D55" s="5"/>
      <c r="E55" s="5"/>
      <c r="F55" s="5"/>
      <c r="G55" s="5"/>
      <c r="H55" s="5"/>
      <c r="I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</row>
    <row r="56" spans="1:1009" ht="13" x14ac:dyDescent="0.25">
      <c r="A56" s="27"/>
      <c r="B56" s="5"/>
      <c r="C56" s="5"/>
      <c r="D56" s="5"/>
      <c r="E56" s="5"/>
      <c r="F56" s="5"/>
      <c r="G56" s="5"/>
      <c r="H56" s="5"/>
      <c r="I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</row>
    <row r="57" spans="1:1009" x14ac:dyDescent="0.25">
      <c r="B57" s="5"/>
      <c r="C57" s="5"/>
      <c r="D57" s="5"/>
      <c r="E57" s="5"/>
      <c r="F57" s="5"/>
      <c r="G57" s="5"/>
      <c r="H57" s="5"/>
      <c r="I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</row>
    <row r="58" spans="1:1009" s="10" customFormat="1" ht="15" customHeight="1" x14ac:dyDescent="0.25">
      <c r="A58" s="3"/>
      <c r="C58" s="28"/>
      <c r="D58" s="28"/>
      <c r="E58" s="28"/>
      <c r="F58" s="28"/>
      <c r="G58" s="28"/>
      <c r="H58" s="28"/>
    </row>
  </sheetData>
  <mergeCells count="2">
    <mergeCell ref="B6:H6"/>
    <mergeCell ref="B52:H52"/>
  </mergeCells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K70"/>
  <sheetViews>
    <sheetView showGridLines="0" tabSelected="1" topLeftCell="D12" zoomScaleNormal="100" workbookViewId="0">
      <selection activeCell="F60" sqref="F60"/>
    </sheetView>
  </sheetViews>
  <sheetFormatPr defaultColWidth="8.8984375" defaultRowHeight="12.5" x14ac:dyDescent="0.25"/>
  <cols>
    <col min="1" max="2" width="9" style="6"/>
    <col min="3" max="3" width="40.296875" style="6" customWidth="1"/>
    <col min="4" max="4" width="20.59765625" style="6" customWidth="1"/>
    <col min="5" max="8" width="9" style="6"/>
    <col min="9" max="10" width="14.3984375" style="6" customWidth="1"/>
    <col min="11" max="11" width="12.3984375" style="6" customWidth="1"/>
    <col min="12" max="12" width="12.09765625" style="6" customWidth="1"/>
    <col min="13" max="1025" width="9" style="6"/>
    <col min="1026" max="16384" width="8.8984375" style="5"/>
  </cols>
  <sheetData>
    <row r="1" spans="1:1024" ht="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spans="1:1024" ht="13" x14ac:dyDescent="0.25">
      <c r="A2" s="5"/>
      <c r="B2" s="5"/>
      <c r="C2" s="29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"/>
      <c r="R2" s="1"/>
      <c r="S2" s="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</row>
    <row r="3" spans="1:1024" ht="13" x14ac:dyDescent="0.25">
      <c r="A3" s="5"/>
      <c r="B3" s="5"/>
      <c r="C3" s="1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  <c r="R3" s="1"/>
      <c r="S3" s="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5" spans="1:1024" s="177" customFormat="1" ht="13" x14ac:dyDescent="0.25">
      <c r="C5" s="177" t="s">
        <v>165</v>
      </c>
    </row>
    <row r="6" spans="1:1024" x14ac:dyDescent="0.25">
      <c r="A6" s="5"/>
      <c r="B6" s="5"/>
      <c r="C6" s="175" t="s">
        <v>77</v>
      </c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30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</row>
    <row r="7" spans="1:102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3"/>
      <c r="Q7" s="5"/>
      <c r="R7" s="5"/>
      <c r="S7" s="5"/>
      <c r="T7" s="175"/>
      <c r="V7" s="5"/>
      <c r="X7" s="5"/>
      <c r="Y7" s="5"/>
      <c r="Z7" s="5"/>
    </row>
    <row r="8" spans="1:1024" x14ac:dyDescent="0.25">
      <c r="A8" s="5"/>
      <c r="B8" s="5"/>
      <c r="C8" s="5"/>
      <c r="D8" s="5"/>
      <c r="E8" s="5"/>
      <c r="F8" s="5"/>
      <c r="G8" s="5"/>
      <c r="L8" s="5"/>
      <c r="M8" s="5"/>
      <c r="N8" s="5"/>
      <c r="O8" s="5"/>
      <c r="Q8" s="5"/>
      <c r="R8" s="5"/>
      <c r="S8" s="5"/>
      <c r="T8" s="5"/>
      <c r="V8" s="5"/>
      <c r="X8" s="5"/>
      <c r="Y8" s="5"/>
      <c r="Z8" s="5"/>
    </row>
    <row r="9" spans="1:1024" ht="13" x14ac:dyDescent="0.25">
      <c r="A9" s="5"/>
      <c r="B9" s="5"/>
      <c r="C9" s="5"/>
      <c r="D9" s="28" t="s">
        <v>38</v>
      </c>
      <c r="E9" s="31"/>
      <c r="F9" s="31"/>
      <c r="G9" s="5"/>
      <c r="L9" s="5"/>
      <c r="M9" s="5"/>
      <c r="N9" s="5"/>
      <c r="O9" s="5"/>
      <c r="Q9" s="5"/>
      <c r="R9" s="5"/>
      <c r="S9" s="5"/>
      <c r="T9" s="5"/>
      <c r="V9" s="5"/>
      <c r="X9" s="5"/>
      <c r="Y9" s="5"/>
      <c r="Z9" s="5"/>
    </row>
    <row r="10" spans="1:1024" x14ac:dyDescent="0.25">
      <c r="A10" s="32"/>
      <c r="B10" s="5"/>
      <c r="C10" s="13" t="s">
        <v>42</v>
      </c>
      <c r="D10" s="33">
        <v>858270</v>
      </c>
      <c r="E10" s="34">
        <f t="shared" ref="E10:E18" si="0">D10/SUM($D$10:$D$18)</f>
        <v>0.38393096784583175</v>
      </c>
      <c r="F10" s="35"/>
      <c r="G10" s="36"/>
      <c r="L10" s="5"/>
      <c r="M10" s="5"/>
      <c r="N10" s="5"/>
      <c r="O10" s="5"/>
      <c r="Q10" s="37"/>
      <c r="R10" s="5"/>
      <c r="S10" s="37"/>
      <c r="T10" s="5"/>
      <c r="V10" s="5"/>
      <c r="X10" s="5"/>
      <c r="Y10" s="5"/>
      <c r="Z10" s="5"/>
    </row>
    <row r="11" spans="1:1024" x14ac:dyDescent="0.25">
      <c r="A11" s="32"/>
      <c r="B11" s="5"/>
      <c r="C11" s="13" t="s">
        <v>2</v>
      </c>
      <c r="D11" s="33">
        <v>506690</v>
      </c>
      <c r="E11" s="34">
        <f t="shared" si="0"/>
        <v>0.22665825683969437</v>
      </c>
      <c r="F11" s="35"/>
      <c r="G11" s="36"/>
      <c r="L11" s="5"/>
      <c r="M11" s="5"/>
      <c r="N11" s="5"/>
      <c r="O11" s="5"/>
      <c r="Q11" s="37"/>
      <c r="R11" s="5"/>
      <c r="S11" s="37"/>
      <c r="T11" s="5"/>
      <c r="V11" s="5"/>
      <c r="X11" s="5"/>
      <c r="Y11" s="5"/>
      <c r="Z11" s="5"/>
    </row>
    <row r="12" spans="1:1024" x14ac:dyDescent="0.25">
      <c r="A12" s="5"/>
      <c r="B12" s="13"/>
      <c r="C12" s="13" t="s">
        <v>41</v>
      </c>
      <c r="D12" s="33">
        <v>233570</v>
      </c>
      <c r="E12" s="34">
        <f t="shared" si="0"/>
        <v>0.10448315350618212</v>
      </c>
      <c r="F12" s="35"/>
      <c r="G12" s="36"/>
      <c r="L12" s="5"/>
      <c r="M12" s="5"/>
      <c r="N12" s="5"/>
      <c r="O12" s="5"/>
      <c r="Q12" s="13"/>
      <c r="R12" s="5"/>
      <c r="S12" s="13"/>
      <c r="T12" s="5"/>
      <c r="V12" s="5"/>
      <c r="X12" s="5"/>
      <c r="Y12" s="5"/>
      <c r="Z12" s="5"/>
    </row>
    <row r="13" spans="1:1024" x14ac:dyDescent="0.25">
      <c r="A13" s="5"/>
      <c r="B13" s="13"/>
      <c r="C13" s="13" t="s">
        <v>40</v>
      </c>
      <c r="D13" s="33">
        <v>230640</v>
      </c>
      <c r="E13" s="34">
        <f t="shared" si="0"/>
        <v>0.10317247302592732</v>
      </c>
      <c r="F13" s="35"/>
      <c r="G13" s="36"/>
      <c r="L13" s="5"/>
      <c r="M13" s="5"/>
      <c r="N13" s="5"/>
      <c r="O13" s="5"/>
      <c r="Q13" s="37"/>
      <c r="R13" s="5"/>
      <c r="S13" s="37"/>
      <c r="T13" s="5"/>
      <c r="V13" s="5"/>
      <c r="X13" s="5"/>
      <c r="Y13" s="5"/>
      <c r="Z13" s="5"/>
    </row>
    <row r="14" spans="1:1024" x14ac:dyDescent="0.25">
      <c r="A14" s="5"/>
      <c r="B14" s="13"/>
      <c r="C14" s="13" t="s">
        <v>7</v>
      </c>
      <c r="D14" s="33">
        <v>199880</v>
      </c>
      <c r="E14" s="34">
        <f t="shared" si="0"/>
        <v>8.9412564639361564E-2</v>
      </c>
      <c r="F14" s="34"/>
      <c r="G14" s="36"/>
      <c r="L14" s="5"/>
      <c r="M14" s="5"/>
      <c r="N14" s="5"/>
      <c r="O14" s="5"/>
      <c r="Q14" s="37"/>
      <c r="R14" s="32"/>
      <c r="S14" s="37"/>
      <c r="T14" s="5"/>
      <c r="V14" s="5"/>
      <c r="X14" s="5"/>
      <c r="Y14" s="5"/>
      <c r="Z14" s="5"/>
    </row>
    <row r="15" spans="1:1024" x14ac:dyDescent="0.25">
      <c r="A15" s="5"/>
      <c r="B15" s="13"/>
      <c r="C15" s="13" t="s">
        <v>43</v>
      </c>
      <c r="D15" s="33">
        <v>104470</v>
      </c>
      <c r="E15" s="34">
        <f t="shared" si="0"/>
        <v>4.6732692755023529E-2</v>
      </c>
      <c r="F15" s="35"/>
      <c r="G15" s="36"/>
      <c r="L15" s="5"/>
      <c r="M15" s="5"/>
      <c r="N15" s="5"/>
      <c r="O15" s="5"/>
      <c r="Q15" s="13"/>
      <c r="R15" s="5"/>
      <c r="S15" s="13"/>
      <c r="T15" s="5"/>
      <c r="V15" s="5"/>
      <c r="X15" s="38"/>
      <c r="Y15" s="38"/>
      <c r="Z15" s="38"/>
    </row>
    <row r="16" spans="1:1024" x14ac:dyDescent="0.25">
      <c r="A16" s="5"/>
      <c r="B16" s="13"/>
      <c r="C16" s="13" t="s">
        <v>4</v>
      </c>
      <c r="D16" s="33">
        <v>66920</v>
      </c>
      <c r="E16" s="34">
        <f t="shared" si="0"/>
        <v>2.9935405371553314E-2</v>
      </c>
      <c r="F16" s="35"/>
      <c r="G16" s="36"/>
      <c r="L16" s="5"/>
      <c r="M16" s="5"/>
      <c r="N16" s="5"/>
      <c r="O16" s="5"/>
      <c r="Q16" s="37"/>
      <c r="R16" s="5"/>
      <c r="S16" s="37"/>
      <c r="T16" s="5"/>
      <c r="V16" s="5"/>
      <c r="X16" s="38"/>
      <c r="Y16" s="38"/>
      <c r="Z16" s="38"/>
    </row>
    <row r="17" spans="1:25" x14ac:dyDescent="0.25">
      <c r="A17" s="32"/>
      <c r="B17" s="13"/>
      <c r="C17" s="13" t="s">
        <v>39</v>
      </c>
      <c r="D17" s="33">
        <v>22970</v>
      </c>
      <c r="E17" s="34">
        <f t="shared" si="0"/>
        <v>1.0275198167731314E-2</v>
      </c>
      <c r="F17" s="35"/>
      <c r="G17" s="36"/>
      <c r="L17" s="5"/>
      <c r="M17" s="5"/>
      <c r="N17" s="5"/>
      <c r="O17" s="5"/>
      <c r="Q17" s="37"/>
      <c r="R17" s="5"/>
      <c r="S17" s="37"/>
      <c r="T17" s="5"/>
      <c r="V17" s="13"/>
      <c r="X17" s="5"/>
      <c r="Y17" s="5"/>
    </row>
    <row r="18" spans="1:25" x14ac:dyDescent="0.25">
      <c r="A18" s="5"/>
      <c r="B18" s="13"/>
      <c r="C18" s="13" t="s">
        <v>44</v>
      </c>
      <c r="D18" s="33">
        <v>12070</v>
      </c>
      <c r="E18" s="34">
        <f t="shared" si="0"/>
        <v>5.3992878486946875E-3</v>
      </c>
      <c r="F18" s="34"/>
      <c r="G18" s="36"/>
      <c r="L18" s="5"/>
      <c r="M18" s="5"/>
      <c r="N18" s="5"/>
      <c r="O18" s="5"/>
      <c r="Q18" s="13"/>
      <c r="R18" s="5"/>
      <c r="S18" s="13"/>
      <c r="T18" s="5"/>
      <c r="V18" s="13"/>
      <c r="X18" s="5"/>
      <c r="Y18" s="5"/>
    </row>
    <row r="19" spans="1:25" x14ac:dyDescent="0.25">
      <c r="A19" s="32"/>
      <c r="B19" s="13"/>
      <c r="C19" s="13"/>
      <c r="D19" s="35"/>
      <c r="E19" s="39"/>
      <c r="F19" s="35"/>
      <c r="G19" s="5"/>
      <c r="L19" s="5"/>
      <c r="M19" s="5"/>
      <c r="N19" s="5"/>
      <c r="O19" s="5"/>
      <c r="Q19" s="13"/>
      <c r="R19" s="5"/>
      <c r="S19" s="5"/>
      <c r="T19" s="5"/>
      <c r="V19" s="13"/>
      <c r="X19" s="5"/>
      <c r="Y19" s="5"/>
    </row>
    <row r="20" spans="1:25" ht="13" x14ac:dyDescent="0.25">
      <c r="A20" s="5"/>
      <c r="B20" s="13"/>
      <c r="C20" s="26" t="s">
        <v>174</v>
      </c>
      <c r="D20" s="35"/>
      <c r="E20" s="34"/>
      <c r="F20" s="35"/>
      <c r="G20" s="5"/>
      <c r="L20" s="5"/>
      <c r="M20" s="5"/>
      <c r="N20" s="5"/>
      <c r="O20" s="5"/>
      <c r="Q20" s="26"/>
      <c r="R20" s="5"/>
      <c r="S20" s="26"/>
      <c r="T20" s="5"/>
      <c r="V20" s="13"/>
      <c r="X20" s="5"/>
      <c r="Y20" s="5"/>
    </row>
    <row r="21" spans="1:25" x14ac:dyDescent="0.25">
      <c r="A21" s="5"/>
      <c r="B21" s="13"/>
      <c r="C21" s="13"/>
      <c r="D21" s="35"/>
      <c r="E21" s="35"/>
      <c r="F21" s="35"/>
      <c r="G21" s="5"/>
      <c r="L21" s="5"/>
      <c r="M21" s="5"/>
      <c r="N21" s="5"/>
      <c r="O21" s="5"/>
      <c r="Q21" s="13"/>
      <c r="R21" s="5"/>
      <c r="S21" s="5"/>
      <c r="T21" s="5"/>
      <c r="V21" s="13"/>
      <c r="X21" s="5"/>
      <c r="Y21" s="5"/>
    </row>
    <row r="22" spans="1:25" x14ac:dyDescent="0.25">
      <c r="A22" s="5"/>
      <c r="B22" s="13"/>
      <c r="C22" s="13"/>
      <c r="D22" s="40"/>
      <c r="E22" s="35"/>
      <c r="F22" s="35"/>
      <c r="G22" s="5"/>
      <c r="L22" s="5"/>
      <c r="M22" s="5"/>
      <c r="N22" s="5"/>
      <c r="O22" s="5"/>
      <c r="Q22" s="13"/>
      <c r="R22" s="5"/>
      <c r="S22" s="5"/>
      <c r="T22" s="5"/>
      <c r="V22" s="13"/>
      <c r="X22" s="5"/>
      <c r="Y22" s="5"/>
    </row>
    <row r="23" spans="1:25" x14ac:dyDescent="0.25">
      <c r="A23" s="32"/>
      <c r="B23" s="13"/>
      <c r="C23" s="13"/>
      <c r="D23" s="40"/>
      <c r="E23" s="35"/>
      <c r="F23" s="35"/>
      <c r="G23" s="5"/>
      <c r="H23" s="5"/>
      <c r="I23" s="5"/>
      <c r="J23" s="5"/>
      <c r="K23" s="5"/>
      <c r="L23" s="5"/>
      <c r="M23" s="5"/>
      <c r="N23" s="5"/>
      <c r="O23" s="5"/>
      <c r="Q23" s="13"/>
      <c r="R23" s="5"/>
      <c r="S23" s="5"/>
      <c r="T23" s="5"/>
      <c r="V23" s="13"/>
      <c r="X23" s="5"/>
      <c r="Y23" s="5"/>
    </row>
    <row r="24" spans="1:25" ht="13" x14ac:dyDescent="0.25">
      <c r="A24" s="41"/>
      <c r="B24" s="13"/>
      <c r="C24" s="13"/>
      <c r="D24" s="35"/>
      <c r="E24" s="35"/>
      <c r="F24" s="35"/>
      <c r="G24" s="5"/>
      <c r="H24" s="5"/>
      <c r="I24" s="5"/>
      <c r="J24" s="5"/>
      <c r="K24" s="5"/>
      <c r="L24" s="5"/>
      <c r="M24" s="5"/>
      <c r="N24" s="5"/>
      <c r="O24" s="5"/>
      <c r="Q24" s="13"/>
      <c r="R24" s="5"/>
      <c r="S24" s="5"/>
      <c r="T24" s="5"/>
      <c r="V24" s="13"/>
      <c r="X24" s="5"/>
      <c r="Y24" s="5"/>
    </row>
    <row r="25" spans="1:25" x14ac:dyDescent="0.25">
      <c r="B25" s="13"/>
      <c r="C25" s="5"/>
      <c r="D25" s="5"/>
      <c r="E25" s="34"/>
      <c r="F25" s="35"/>
      <c r="G25" s="5"/>
      <c r="H25" s="5"/>
      <c r="I25" s="5"/>
      <c r="J25" s="5"/>
      <c r="K25" s="5"/>
      <c r="L25" s="5"/>
      <c r="M25" s="5"/>
      <c r="N25" s="5"/>
      <c r="O25" s="5"/>
      <c r="Q25" s="13"/>
      <c r="R25" s="5"/>
      <c r="S25" s="5"/>
      <c r="T25" s="5"/>
      <c r="V25" s="13"/>
      <c r="X25" s="5"/>
      <c r="Y25" s="5"/>
    </row>
    <row r="26" spans="1:25" x14ac:dyDescent="0.25">
      <c r="A26" s="5"/>
      <c r="B26" s="13"/>
      <c r="C26" s="5"/>
      <c r="D26" s="5"/>
      <c r="E26" s="35"/>
      <c r="F26" s="35"/>
      <c r="G26" s="5"/>
      <c r="H26" s="5"/>
      <c r="I26" s="5"/>
      <c r="J26" s="5"/>
      <c r="K26" s="5"/>
      <c r="L26" s="5"/>
      <c r="M26" s="5"/>
      <c r="N26" s="5"/>
      <c r="O26" s="5"/>
      <c r="Q26" s="13"/>
      <c r="R26" s="5"/>
      <c r="S26" s="5"/>
      <c r="T26" s="5"/>
      <c r="V26" s="13"/>
      <c r="X26" s="5"/>
      <c r="Y26" s="5"/>
    </row>
    <row r="27" spans="1:25" x14ac:dyDescent="0.25">
      <c r="A27" s="5"/>
      <c r="B27" s="13"/>
      <c r="C27" s="5"/>
      <c r="D27" s="5"/>
      <c r="E27" s="34"/>
      <c r="F27" s="35"/>
      <c r="G27" s="5"/>
      <c r="H27" s="5"/>
      <c r="I27" s="5"/>
      <c r="J27" s="5"/>
      <c r="K27" s="5"/>
      <c r="L27" s="5"/>
      <c r="M27" s="5"/>
      <c r="N27" s="5"/>
      <c r="O27" s="5"/>
      <c r="Q27" s="13"/>
      <c r="R27" s="5"/>
      <c r="S27" s="5"/>
      <c r="T27" s="5"/>
      <c r="V27" s="13"/>
      <c r="X27" s="5"/>
      <c r="Y27" s="5"/>
    </row>
    <row r="28" spans="1:25" x14ac:dyDescent="0.25">
      <c r="A28" s="5"/>
      <c r="B28" s="13"/>
      <c r="C28" s="5"/>
      <c r="D28" s="5"/>
      <c r="E28" s="35"/>
      <c r="F28" s="35"/>
      <c r="G28" s="5"/>
      <c r="H28" s="5"/>
      <c r="I28" s="5"/>
      <c r="J28" s="5"/>
      <c r="K28" s="5"/>
      <c r="L28" s="5"/>
      <c r="M28" s="5"/>
      <c r="N28" s="5"/>
      <c r="O28" s="5"/>
      <c r="Q28" s="13"/>
      <c r="R28" s="5"/>
      <c r="S28" s="5"/>
      <c r="T28" s="5"/>
      <c r="V28" s="13"/>
      <c r="X28" s="5"/>
      <c r="Y28" s="5"/>
    </row>
    <row r="29" spans="1:25" x14ac:dyDescent="0.25">
      <c r="A29" s="5"/>
      <c r="B29" s="13"/>
      <c r="C29" s="5"/>
      <c r="D29" s="5"/>
      <c r="E29" s="35"/>
      <c r="F29" s="35"/>
      <c r="G29" s="5"/>
      <c r="H29" s="5"/>
      <c r="I29" s="5"/>
      <c r="J29" s="5"/>
      <c r="K29" s="5"/>
      <c r="L29" s="5"/>
      <c r="M29" s="5"/>
      <c r="N29" s="5"/>
      <c r="O29" s="5"/>
      <c r="Q29" s="13"/>
      <c r="R29" s="5"/>
      <c r="S29" s="5"/>
      <c r="T29" s="5"/>
      <c r="V29" s="13"/>
      <c r="X29" s="5"/>
      <c r="Y29" s="5"/>
    </row>
    <row r="30" spans="1:25" x14ac:dyDescent="0.25">
      <c r="A30" s="5"/>
      <c r="B30" s="13"/>
      <c r="C30" s="13"/>
      <c r="D30" s="35"/>
      <c r="E30" s="35"/>
      <c r="F30" s="35"/>
      <c r="G30" s="5"/>
      <c r="H30" s="5"/>
      <c r="I30" s="5"/>
      <c r="J30" s="5"/>
      <c r="K30" s="5"/>
      <c r="L30" s="5"/>
      <c r="M30" s="5"/>
      <c r="N30" s="5"/>
      <c r="O30" s="5"/>
      <c r="Q30" s="13"/>
      <c r="R30" s="5"/>
      <c r="S30" s="5"/>
      <c r="T30" s="5"/>
      <c r="V30" s="13"/>
      <c r="X30" s="5"/>
      <c r="Y30" s="5"/>
    </row>
    <row r="31" spans="1:25" x14ac:dyDescent="0.25">
      <c r="A31" s="5"/>
      <c r="B31" s="13"/>
      <c r="D31" s="35"/>
      <c r="E31" s="35"/>
      <c r="F31" s="35"/>
      <c r="G31" s="13"/>
      <c r="H31" s="5"/>
      <c r="I31" s="5"/>
      <c r="J31" s="5"/>
      <c r="K31" s="5"/>
      <c r="L31" s="5"/>
      <c r="M31" s="38"/>
      <c r="N31" s="38"/>
      <c r="O31" s="38"/>
      <c r="Q31" s="13"/>
      <c r="R31" s="5"/>
      <c r="S31" s="5"/>
      <c r="T31" s="5"/>
      <c r="V31" s="13"/>
      <c r="X31" s="5"/>
      <c r="Y31" s="5"/>
    </row>
    <row r="32" spans="1:25" x14ac:dyDescent="0.25">
      <c r="A32" s="5"/>
      <c r="B32" s="13"/>
      <c r="C32" s="13"/>
      <c r="D32" s="35"/>
      <c r="E32" s="35"/>
      <c r="F32" s="35"/>
      <c r="G32" s="13"/>
      <c r="H32" s="5"/>
      <c r="I32" s="5"/>
      <c r="J32" s="5"/>
      <c r="K32" s="5"/>
      <c r="L32" s="5"/>
      <c r="M32" s="38"/>
      <c r="N32" s="38"/>
      <c r="O32" s="38"/>
      <c r="Q32" s="13"/>
      <c r="R32" s="5"/>
      <c r="S32" s="5"/>
      <c r="T32" s="5"/>
      <c r="V32" s="13"/>
      <c r="X32" s="5"/>
      <c r="Y32" s="5"/>
    </row>
    <row r="33" spans="1:1025" x14ac:dyDescent="0.25">
      <c r="A33" s="5"/>
      <c r="B33" s="13"/>
      <c r="C33" s="13"/>
      <c r="D33" s="35"/>
      <c r="E33" s="35"/>
      <c r="F33" s="35"/>
      <c r="G33" s="13"/>
      <c r="H33" s="5"/>
      <c r="I33" s="5"/>
      <c r="J33" s="5"/>
      <c r="K33" s="5"/>
      <c r="L33" s="5"/>
      <c r="Q33" s="13"/>
      <c r="R33" s="38"/>
      <c r="S33" s="5"/>
      <c r="T33" s="38"/>
      <c r="V33" s="13"/>
      <c r="X33" s="5"/>
      <c r="Y33" s="5"/>
    </row>
    <row r="34" spans="1:1025" x14ac:dyDescent="0.25">
      <c r="A34" s="5"/>
      <c r="B34" s="13"/>
      <c r="C34" s="13"/>
      <c r="D34" s="35"/>
      <c r="E34" s="35"/>
      <c r="F34" s="35"/>
      <c r="G34" s="13"/>
      <c r="H34" s="5"/>
      <c r="I34" s="5"/>
      <c r="J34" s="5"/>
      <c r="K34" s="5"/>
      <c r="L34" s="5"/>
      <c r="Q34" s="13"/>
      <c r="R34" s="38"/>
      <c r="S34" s="5"/>
      <c r="T34" s="5"/>
      <c r="V34" s="13"/>
      <c r="X34" s="38"/>
      <c r="Y34" s="5"/>
    </row>
    <row r="35" spans="1:1025" x14ac:dyDescent="0.25">
      <c r="A35" s="5"/>
      <c r="B35" s="13"/>
      <c r="C35" s="13"/>
      <c r="D35" s="35"/>
      <c r="E35" s="35"/>
      <c r="F35" s="35"/>
      <c r="G35" s="13"/>
      <c r="H35" s="5"/>
      <c r="I35" s="5"/>
      <c r="J35" s="5"/>
      <c r="K35" s="5"/>
      <c r="L35" s="5"/>
      <c r="Q35" s="13"/>
      <c r="R35" s="5"/>
      <c r="S35" s="5"/>
      <c r="T35" s="5"/>
      <c r="V35" s="13"/>
      <c r="X35" s="5"/>
      <c r="Y35" s="5"/>
    </row>
    <row r="36" spans="1:1025" x14ac:dyDescent="0.25">
      <c r="A36" s="5"/>
      <c r="C36" s="30"/>
      <c r="D36" s="35"/>
      <c r="E36" s="35"/>
      <c r="F36" s="35"/>
      <c r="G36" s="13"/>
      <c r="H36" s="5"/>
      <c r="I36" s="5"/>
      <c r="J36" s="5"/>
      <c r="K36" s="5"/>
      <c r="L36" s="5"/>
      <c r="Q36" s="13"/>
      <c r="R36" s="5"/>
      <c r="S36" s="5"/>
      <c r="T36" s="5"/>
      <c r="V36" s="13"/>
      <c r="X36" s="5"/>
      <c r="Y36" s="38"/>
    </row>
    <row r="37" spans="1:1025" x14ac:dyDescent="0.25">
      <c r="A37" s="5"/>
      <c r="C37" s="5"/>
      <c r="D37" s="5"/>
      <c r="E37" s="5"/>
      <c r="F37" s="5"/>
      <c r="G37" s="13"/>
      <c r="H37" s="5"/>
      <c r="I37" s="5"/>
      <c r="J37" s="5"/>
      <c r="K37" s="5"/>
      <c r="L37" s="5"/>
      <c r="Q37" s="5"/>
      <c r="R37" s="5"/>
      <c r="S37" s="5"/>
      <c r="T37" s="5"/>
      <c r="V37" s="13"/>
      <c r="X37" s="5"/>
      <c r="Y37" s="38"/>
    </row>
    <row r="38" spans="1:1025" x14ac:dyDescent="0.25">
      <c r="A38" s="42"/>
      <c r="C38" s="5"/>
      <c r="D38" s="5"/>
      <c r="E38" s="5"/>
      <c r="F38" s="5"/>
      <c r="R38" s="43"/>
      <c r="T38" s="38"/>
      <c r="V38" s="13"/>
      <c r="X38" s="38"/>
      <c r="Y38" s="38"/>
    </row>
    <row r="39" spans="1:1025" x14ac:dyDescent="0.25">
      <c r="A39" s="42"/>
      <c r="C39" s="5"/>
      <c r="D39" s="5"/>
      <c r="E39" s="5"/>
      <c r="F39" s="5"/>
      <c r="R39" s="43"/>
      <c r="T39" s="38"/>
      <c r="V39" s="13"/>
      <c r="X39" s="38"/>
      <c r="Y39" s="38"/>
    </row>
    <row r="40" spans="1:1025" x14ac:dyDescent="0.25">
      <c r="A40" s="32"/>
      <c r="C40" s="5"/>
      <c r="D40" s="5"/>
      <c r="E40" s="5"/>
      <c r="F40" s="5"/>
    </row>
    <row r="41" spans="1:1025" x14ac:dyDescent="0.25">
      <c r="C41" s="13"/>
      <c r="D41" s="13"/>
      <c r="E41" s="13"/>
      <c r="F41" s="42" t="s">
        <v>45</v>
      </c>
    </row>
    <row r="42" spans="1:1025" x14ac:dyDescent="0.25">
      <c r="C42" s="13"/>
      <c r="D42" s="13"/>
      <c r="E42" s="13"/>
      <c r="F42" s="13"/>
    </row>
    <row r="43" spans="1:1025" x14ac:dyDescent="0.25">
      <c r="C43" s="13"/>
      <c r="D43" s="13"/>
      <c r="E43" s="13"/>
      <c r="F43" s="13"/>
    </row>
    <row r="44" spans="1:1025" x14ac:dyDescent="0.25">
      <c r="C44" s="13"/>
      <c r="D44" s="35"/>
      <c r="E44" s="35"/>
      <c r="F44" s="35"/>
    </row>
    <row r="45" spans="1:1025" x14ac:dyDescent="0.25"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</row>
    <row r="46" spans="1:1025" x14ac:dyDescent="0.25"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</row>
    <row r="47" spans="1:1025" x14ac:dyDescent="0.25"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</row>
    <row r="48" spans="1:1025" x14ac:dyDescent="0.25"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</row>
    <row r="49" spans="1:1010" s="5" customForma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</row>
    <row r="50" spans="1:1010" s="5" customForma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</row>
    <row r="51" spans="1:1010" s="5" customForma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</row>
    <row r="52" spans="1:1010" s="5" customForma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</row>
    <row r="53" spans="1:1010" s="5" customForma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</row>
    <row r="54" spans="1:1010" s="5" customForma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</row>
    <row r="55" spans="1:1010" s="5" customForma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  <c r="AFK55" s="6"/>
      <c r="AFL55" s="6"/>
      <c r="AFM55" s="6"/>
      <c r="AFN55" s="6"/>
      <c r="AFO55" s="6"/>
      <c r="AFP55" s="6"/>
      <c r="AFQ55" s="6"/>
      <c r="AFR55" s="6"/>
      <c r="AFS55" s="6"/>
      <c r="AFT55" s="6"/>
      <c r="AFU55" s="6"/>
      <c r="AFV55" s="6"/>
      <c r="AFW55" s="6"/>
      <c r="AFX55" s="6"/>
      <c r="AFY55" s="6"/>
      <c r="AFZ55" s="6"/>
      <c r="AGA55" s="6"/>
      <c r="AGB55" s="6"/>
      <c r="AGC55" s="6"/>
      <c r="AGD55" s="6"/>
      <c r="AGE55" s="6"/>
      <c r="AGF55" s="6"/>
      <c r="AGG55" s="6"/>
      <c r="AGH55" s="6"/>
      <c r="AGI55" s="6"/>
      <c r="AGJ55" s="6"/>
      <c r="AGK55" s="6"/>
      <c r="AGL55" s="6"/>
      <c r="AGM55" s="6"/>
      <c r="AGN55" s="6"/>
      <c r="AGO55" s="6"/>
      <c r="AGP55" s="6"/>
      <c r="AGQ55" s="6"/>
      <c r="AGR55" s="6"/>
      <c r="AGS55" s="6"/>
      <c r="AGT55" s="6"/>
      <c r="AGU55" s="6"/>
      <c r="AGV55" s="6"/>
      <c r="AGW55" s="6"/>
      <c r="AGX55" s="6"/>
      <c r="AGY55" s="6"/>
      <c r="AGZ55" s="6"/>
      <c r="AHA55" s="6"/>
      <c r="AHB55" s="6"/>
      <c r="AHC55" s="6"/>
      <c r="AHD55" s="6"/>
      <c r="AHE55" s="6"/>
      <c r="AHF55" s="6"/>
      <c r="AHG55" s="6"/>
      <c r="AHH55" s="6"/>
      <c r="AHI55" s="6"/>
      <c r="AHJ55" s="6"/>
      <c r="AHK55" s="6"/>
      <c r="AHL55" s="6"/>
      <c r="AHM55" s="6"/>
      <c r="AHN55" s="6"/>
      <c r="AHO55" s="6"/>
      <c r="AHP55" s="6"/>
      <c r="AHQ55" s="6"/>
      <c r="AHR55" s="6"/>
      <c r="AHS55" s="6"/>
      <c r="AHT55" s="6"/>
      <c r="AHU55" s="6"/>
      <c r="AHV55" s="6"/>
      <c r="AHW55" s="6"/>
      <c r="AHX55" s="6"/>
      <c r="AHY55" s="6"/>
      <c r="AHZ55" s="6"/>
      <c r="AIA55" s="6"/>
      <c r="AIB55" s="6"/>
      <c r="AIC55" s="6"/>
      <c r="AID55" s="6"/>
      <c r="AIE55" s="6"/>
      <c r="AIF55" s="6"/>
      <c r="AIG55" s="6"/>
      <c r="AIH55" s="6"/>
      <c r="AII55" s="6"/>
      <c r="AIJ55" s="6"/>
      <c r="AIK55" s="6"/>
      <c r="AIL55" s="6"/>
      <c r="AIM55" s="6"/>
      <c r="AIN55" s="6"/>
      <c r="AIO55" s="6"/>
      <c r="AIP55" s="6"/>
      <c r="AIQ55" s="6"/>
      <c r="AIR55" s="6"/>
      <c r="AIS55" s="6"/>
      <c r="AIT55" s="6"/>
      <c r="AIU55" s="6"/>
      <c r="AIV55" s="6"/>
      <c r="AIW55" s="6"/>
      <c r="AIX55" s="6"/>
      <c r="AIY55" s="6"/>
      <c r="AIZ55" s="6"/>
      <c r="AJA55" s="6"/>
      <c r="AJB55" s="6"/>
      <c r="AJC55" s="6"/>
      <c r="AJD55" s="6"/>
      <c r="AJE55" s="6"/>
      <c r="AJF55" s="6"/>
      <c r="AJG55" s="6"/>
      <c r="AJH55" s="6"/>
      <c r="AJI55" s="6"/>
      <c r="AJJ55" s="6"/>
      <c r="AJK55" s="6"/>
      <c r="AJL55" s="6"/>
      <c r="AJM55" s="6"/>
      <c r="AJN55" s="6"/>
      <c r="AJO55" s="6"/>
      <c r="AJP55" s="6"/>
      <c r="AJQ55" s="6"/>
      <c r="AJR55" s="6"/>
      <c r="AJS55" s="6"/>
      <c r="AJT55" s="6"/>
      <c r="AJU55" s="6"/>
      <c r="AJV55" s="6"/>
      <c r="AJW55" s="6"/>
      <c r="AJX55" s="6"/>
      <c r="AJY55" s="6"/>
      <c r="AJZ55" s="6"/>
      <c r="AKA55" s="6"/>
      <c r="AKB55" s="6"/>
      <c r="AKC55" s="6"/>
      <c r="AKD55" s="6"/>
      <c r="AKE55" s="6"/>
      <c r="AKF55" s="6"/>
      <c r="AKG55" s="6"/>
      <c r="AKH55" s="6"/>
      <c r="AKI55" s="6"/>
      <c r="AKJ55" s="6"/>
      <c r="AKK55" s="6"/>
      <c r="AKL55" s="6"/>
      <c r="AKM55" s="6"/>
      <c r="AKN55" s="6"/>
      <c r="AKO55" s="6"/>
      <c r="AKP55" s="6"/>
      <c r="AKQ55" s="6"/>
      <c r="AKR55" s="6"/>
      <c r="AKS55" s="6"/>
      <c r="AKT55" s="6"/>
      <c r="AKU55" s="6"/>
      <c r="AKV55" s="6"/>
      <c r="AKW55" s="6"/>
      <c r="AKX55" s="6"/>
      <c r="AKY55" s="6"/>
      <c r="AKZ55" s="6"/>
      <c r="ALA55" s="6"/>
      <c r="ALB55" s="6"/>
      <c r="ALC55" s="6"/>
      <c r="ALD55" s="6"/>
      <c r="ALE55" s="6"/>
      <c r="ALF55" s="6"/>
      <c r="ALG55" s="6"/>
      <c r="ALH55" s="6"/>
      <c r="ALI55" s="6"/>
      <c r="ALJ55" s="6"/>
      <c r="ALK55" s="6"/>
      <c r="ALL55" s="6"/>
      <c r="ALM55" s="6"/>
      <c r="ALN55" s="6"/>
      <c r="ALO55" s="6"/>
      <c r="ALP55" s="6"/>
      <c r="ALQ55" s="6"/>
      <c r="ALR55" s="6"/>
      <c r="ALS55" s="6"/>
      <c r="ALT55" s="6"/>
      <c r="ALU55" s="6"/>
      <c r="ALV55" s="6"/>
    </row>
    <row r="56" spans="1:1010" s="5" customForma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6"/>
      <c r="VC56" s="6"/>
      <c r="VD56" s="6"/>
      <c r="VE56" s="6"/>
      <c r="VF56" s="6"/>
      <c r="VG56" s="6"/>
      <c r="VH56" s="6"/>
      <c r="VI56" s="6"/>
      <c r="VJ56" s="6"/>
      <c r="VK56" s="6"/>
      <c r="VL56" s="6"/>
      <c r="VM56" s="6"/>
      <c r="VN56" s="6"/>
      <c r="VO56" s="6"/>
      <c r="VP56" s="6"/>
      <c r="VQ56" s="6"/>
      <c r="VR56" s="6"/>
      <c r="VS56" s="6"/>
      <c r="VT56" s="6"/>
      <c r="VU56" s="6"/>
      <c r="VV56" s="6"/>
      <c r="VW56" s="6"/>
      <c r="VX56" s="6"/>
      <c r="VY56" s="6"/>
      <c r="VZ56" s="6"/>
      <c r="WA56" s="6"/>
      <c r="WB56" s="6"/>
      <c r="WC56" s="6"/>
      <c r="WD56" s="6"/>
      <c r="WE56" s="6"/>
      <c r="WF56" s="6"/>
      <c r="WG56" s="6"/>
      <c r="WH56" s="6"/>
      <c r="WI56" s="6"/>
      <c r="WJ56" s="6"/>
      <c r="WK56" s="6"/>
      <c r="WL56" s="6"/>
      <c r="WM56" s="6"/>
      <c r="WN56" s="6"/>
      <c r="WO56" s="6"/>
      <c r="WP56" s="6"/>
      <c r="WQ56" s="6"/>
      <c r="WR56" s="6"/>
      <c r="WS56" s="6"/>
      <c r="WT56" s="6"/>
      <c r="WU56" s="6"/>
      <c r="WV56" s="6"/>
      <c r="WW56" s="6"/>
      <c r="WX56" s="6"/>
      <c r="WY56" s="6"/>
      <c r="WZ56" s="6"/>
      <c r="XA56" s="6"/>
      <c r="XB56" s="6"/>
      <c r="XC56" s="6"/>
      <c r="XD56" s="6"/>
      <c r="XE56" s="6"/>
      <c r="XF56" s="6"/>
      <c r="XG56" s="6"/>
      <c r="XH56" s="6"/>
      <c r="XI56" s="6"/>
      <c r="XJ56" s="6"/>
      <c r="XK56" s="6"/>
      <c r="XL56" s="6"/>
      <c r="XM56" s="6"/>
      <c r="XN56" s="6"/>
      <c r="XO56" s="6"/>
      <c r="XP56" s="6"/>
      <c r="XQ56" s="6"/>
      <c r="XR56" s="6"/>
      <c r="XS56" s="6"/>
      <c r="XT56" s="6"/>
      <c r="XU56" s="6"/>
      <c r="XV56" s="6"/>
      <c r="XW56" s="6"/>
      <c r="XX56" s="6"/>
      <c r="XY56" s="6"/>
      <c r="XZ56" s="6"/>
      <c r="YA56" s="6"/>
      <c r="YB56" s="6"/>
      <c r="YC56" s="6"/>
      <c r="YD56" s="6"/>
      <c r="YE56" s="6"/>
      <c r="YF56" s="6"/>
      <c r="YG56" s="6"/>
      <c r="YH56" s="6"/>
      <c r="YI56" s="6"/>
      <c r="YJ56" s="6"/>
      <c r="YK56" s="6"/>
      <c r="YL56" s="6"/>
      <c r="YM56" s="6"/>
      <c r="YN56" s="6"/>
      <c r="YO56" s="6"/>
      <c r="YP56" s="6"/>
      <c r="YQ56" s="6"/>
      <c r="YR56" s="6"/>
      <c r="YS56" s="6"/>
      <c r="YT56" s="6"/>
      <c r="YU56" s="6"/>
      <c r="YV56" s="6"/>
      <c r="YW56" s="6"/>
      <c r="YX56" s="6"/>
      <c r="YY56" s="6"/>
      <c r="YZ56" s="6"/>
      <c r="ZA56" s="6"/>
      <c r="ZB56" s="6"/>
      <c r="ZC56" s="6"/>
      <c r="ZD56" s="6"/>
      <c r="ZE56" s="6"/>
      <c r="ZF56" s="6"/>
      <c r="ZG56" s="6"/>
      <c r="ZH56" s="6"/>
      <c r="ZI56" s="6"/>
      <c r="ZJ56" s="6"/>
      <c r="ZK56" s="6"/>
      <c r="ZL56" s="6"/>
      <c r="ZM56" s="6"/>
      <c r="ZN56" s="6"/>
      <c r="ZO56" s="6"/>
      <c r="ZP56" s="6"/>
      <c r="ZQ56" s="6"/>
      <c r="ZR56" s="6"/>
      <c r="ZS56" s="6"/>
      <c r="ZT56" s="6"/>
      <c r="ZU56" s="6"/>
      <c r="ZV56" s="6"/>
      <c r="ZW56" s="6"/>
      <c r="ZX56" s="6"/>
      <c r="ZY56" s="6"/>
      <c r="ZZ56" s="6"/>
      <c r="AAA56" s="6"/>
      <c r="AAB56" s="6"/>
      <c r="AAC56" s="6"/>
      <c r="AAD56" s="6"/>
      <c r="AAE56" s="6"/>
      <c r="AAF56" s="6"/>
      <c r="AAG56" s="6"/>
      <c r="AAH56" s="6"/>
      <c r="AAI56" s="6"/>
      <c r="AAJ56" s="6"/>
      <c r="AAK56" s="6"/>
      <c r="AAL56" s="6"/>
      <c r="AAM56" s="6"/>
      <c r="AAN56" s="6"/>
      <c r="AAO56" s="6"/>
      <c r="AAP56" s="6"/>
      <c r="AAQ56" s="6"/>
      <c r="AAR56" s="6"/>
      <c r="AAS56" s="6"/>
      <c r="AAT56" s="6"/>
      <c r="AAU56" s="6"/>
      <c r="AAV56" s="6"/>
      <c r="AAW56" s="6"/>
      <c r="AAX56" s="6"/>
      <c r="AAY56" s="6"/>
      <c r="AAZ56" s="6"/>
      <c r="ABA56" s="6"/>
      <c r="ABB56" s="6"/>
      <c r="ABC56" s="6"/>
      <c r="ABD56" s="6"/>
      <c r="ABE56" s="6"/>
      <c r="ABF56" s="6"/>
      <c r="ABG56" s="6"/>
      <c r="ABH56" s="6"/>
      <c r="ABI56" s="6"/>
      <c r="ABJ56" s="6"/>
      <c r="ABK56" s="6"/>
      <c r="ABL56" s="6"/>
      <c r="ABM56" s="6"/>
      <c r="ABN56" s="6"/>
      <c r="ABO56" s="6"/>
      <c r="ABP56" s="6"/>
      <c r="ABQ56" s="6"/>
      <c r="ABR56" s="6"/>
      <c r="ABS56" s="6"/>
      <c r="ABT56" s="6"/>
      <c r="ABU56" s="6"/>
      <c r="ABV56" s="6"/>
      <c r="ABW56" s="6"/>
      <c r="ABX56" s="6"/>
      <c r="ABY56" s="6"/>
      <c r="ABZ56" s="6"/>
      <c r="ACA56" s="6"/>
      <c r="ACB56" s="6"/>
      <c r="ACC56" s="6"/>
      <c r="ACD56" s="6"/>
      <c r="ACE56" s="6"/>
      <c r="ACF56" s="6"/>
      <c r="ACG56" s="6"/>
      <c r="ACH56" s="6"/>
      <c r="ACI56" s="6"/>
      <c r="ACJ56" s="6"/>
      <c r="ACK56" s="6"/>
      <c r="ACL56" s="6"/>
      <c r="ACM56" s="6"/>
      <c r="ACN56" s="6"/>
      <c r="ACO56" s="6"/>
      <c r="ACP56" s="6"/>
      <c r="ACQ56" s="6"/>
      <c r="ACR56" s="6"/>
      <c r="ACS56" s="6"/>
      <c r="ACT56" s="6"/>
      <c r="ACU56" s="6"/>
      <c r="ACV56" s="6"/>
      <c r="ACW56" s="6"/>
      <c r="ACX56" s="6"/>
      <c r="ACY56" s="6"/>
      <c r="ACZ56" s="6"/>
      <c r="ADA56" s="6"/>
      <c r="ADB56" s="6"/>
      <c r="ADC56" s="6"/>
      <c r="ADD56" s="6"/>
      <c r="ADE56" s="6"/>
      <c r="ADF56" s="6"/>
      <c r="ADG56" s="6"/>
      <c r="ADH56" s="6"/>
      <c r="ADI56" s="6"/>
      <c r="ADJ56" s="6"/>
      <c r="ADK56" s="6"/>
      <c r="ADL56" s="6"/>
      <c r="ADM56" s="6"/>
      <c r="ADN56" s="6"/>
      <c r="ADO56" s="6"/>
      <c r="ADP56" s="6"/>
      <c r="ADQ56" s="6"/>
      <c r="ADR56" s="6"/>
      <c r="ADS56" s="6"/>
      <c r="ADT56" s="6"/>
      <c r="ADU56" s="6"/>
      <c r="ADV56" s="6"/>
      <c r="ADW56" s="6"/>
      <c r="ADX56" s="6"/>
      <c r="ADY56" s="6"/>
      <c r="ADZ56" s="6"/>
      <c r="AEA56" s="6"/>
      <c r="AEB56" s="6"/>
      <c r="AEC56" s="6"/>
      <c r="AED56" s="6"/>
      <c r="AEE56" s="6"/>
      <c r="AEF56" s="6"/>
      <c r="AEG56" s="6"/>
      <c r="AEH56" s="6"/>
      <c r="AEI56" s="6"/>
      <c r="AEJ56" s="6"/>
      <c r="AEK56" s="6"/>
      <c r="AEL56" s="6"/>
      <c r="AEM56" s="6"/>
      <c r="AEN56" s="6"/>
      <c r="AEO56" s="6"/>
      <c r="AEP56" s="6"/>
      <c r="AEQ56" s="6"/>
      <c r="AER56" s="6"/>
      <c r="AES56" s="6"/>
      <c r="AET56" s="6"/>
      <c r="AEU56" s="6"/>
      <c r="AEV56" s="6"/>
      <c r="AEW56" s="6"/>
      <c r="AEX56" s="6"/>
      <c r="AEY56" s="6"/>
      <c r="AEZ56" s="6"/>
      <c r="AFA56" s="6"/>
      <c r="AFB56" s="6"/>
      <c r="AFC56" s="6"/>
      <c r="AFD56" s="6"/>
      <c r="AFE56" s="6"/>
      <c r="AFF56" s="6"/>
      <c r="AFG56" s="6"/>
      <c r="AFH56" s="6"/>
      <c r="AFI56" s="6"/>
      <c r="AFJ56" s="6"/>
      <c r="AFK56" s="6"/>
      <c r="AFL56" s="6"/>
      <c r="AFM56" s="6"/>
      <c r="AFN56" s="6"/>
      <c r="AFO56" s="6"/>
      <c r="AFP56" s="6"/>
      <c r="AFQ56" s="6"/>
      <c r="AFR56" s="6"/>
      <c r="AFS56" s="6"/>
      <c r="AFT56" s="6"/>
      <c r="AFU56" s="6"/>
      <c r="AFV56" s="6"/>
      <c r="AFW56" s="6"/>
      <c r="AFX56" s="6"/>
      <c r="AFY56" s="6"/>
      <c r="AFZ56" s="6"/>
      <c r="AGA56" s="6"/>
      <c r="AGB56" s="6"/>
      <c r="AGC56" s="6"/>
      <c r="AGD56" s="6"/>
      <c r="AGE56" s="6"/>
      <c r="AGF56" s="6"/>
      <c r="AGG56" s="6"/>
      <c r="AGH56" s="6"/>
      <c r="AGI56" s="6"/>
      <c r="AGJ56" s="6"/>
      <c r="AGK56" s="6"/>
      <c r="AGL56" s="6"/>
      <c r="AGM56" s="6"/>
      <c r="AGN56" s="6"/>
      <c r="AGO56" s="6"/>
      <c r="AGP56" s="6"/>
      <c r="AGQ56" s="6"/>
      <c r="AGR56" s="6"/>
      <c r="AGS56" s="6"/>
      <c r="AGT56" s="6"/>
      <c r="AGU56" s="6"/>
      <c r="AGV56" s="6"/>
      <c r="AGW56" s="6"/>
      <c r="AGX56" s="6"/>
      <c r="AGY56" s="6"/>
      <c r="AGZ56" s="6"/>
      <c r="AHA56" s="6"/>
      <c r="AHB56" s="6"/>
      <c r="AHC56" s="6"/>
      <c r="AHD56" s="6"/>
      <c r="AHE56" s="6"/>
      <c r="AHF56" s="6"/>
      <c r="AHG56" s="6"/>
      <c r="AHH56" s="6"/>
      <c r="AHI56" s="6"/>
      <c r="AHJ56" s="6"/>
      <c r="AHK56" s="6"/>
      <c r="AHL56" s="6"/>
      <c r="AHM56" s="6"/>
      <c r="AHN56" s="6"/>
      <c r="AHO56" s="6"/>
      <c r="AHP56" s="6"/>
      <c r="AHQ56" s="6"/>
      <c r="AHR56" s="6"/>
      <c r="AHS56" s="6"/>
      <c r="AHT56" s="6"/>
      <c r="AHU56" s="6"/>
      <c r="AHV56" s="6"/>
      <c r="AHW56" s="6"/>
      <c r="AHX56" s="6"/>
      <c r="AHY56" s="6"/>
      <c r="AHZ56" s="6"/>
      <c r="AIA56" s="6"/>
      <c r="AIB56" s="6"/>
      <c r="AIC56" s="6"/>
      <c r="AID56" s="6"/>
      <c r="AIE56" s="6"/>
      <c r="AIF56" s="6"/>
      <c r="AIG56" s="6"/>
      <c r="AIH56" s="6"/>
      <c r="AII56" s="6"/>
      <c r="AIJ56" s="6"/>
      <c r="AIK56" s="6"/>
      <c r="AIL56" s="6"/>
      <c r="AIM56" s="6"/>
      <c r="AIN56" s="6"/>
      <c r="AIO56" s="6"/>
      <c r="AIP56" s="6"/>
      <c r="AIQ56" s="6"/>
      <c r="AIR56" s="6"/>
      <c r="AIS56" s="6"/>
      <c r="AIT56" s="6"/>
      <c r="AIU56" s="6"/>
      <c r="AIV56" s="6"/>
      <c r="AIW56" s="6"/>
      <c r="AIX56" s="6"/>
      <c r="AIY56" s="6"/>
      <c r="AIZ56" s="6"/>
      <c r="AJA56" s="6"/>
      <c r="AJB56" s="6"/>
      <c r="AJC56" s="6"/>
      <c r="AJD56" s="6"/>
      <c r="AJE56" s="6"/>
      <c r="AJF56" s="6"/>
      <c r="AJG56" s="6"/>
      <c r="AJH56" s="6"/>
      <c r="AJI56" s="6"/>
      <c r="AJJ56" s="6"/>
      <c r="AJK56" s="6"/>
      <c r="AJL56" s="6"/>
      <c r="AJM56" s="6"/>
      <c r="AJN56" s="6"/>
      <c r="AJO56" s="6"/>
      <c r="AJP56" s="6"/>
      <c r="AJQ56" s="6"/>
      <c r="AJR56" s="6"/>
      <c r="AJS56" s="6"/>
      <c r="AJT56" s="6"/>
      <c r="AJU56" s="6"/>
      <c r="AJV56" s="6"/>
      <c r="AJW56" s="6"/>
      <c r="AJX56" s="6"/>
      <c r="AJY56" s="6"/>
      <c r="AJZ56" s="6"/>
      <c r="AKA56" s="6"/>
      <c r="AKB56" s="6"/>
      <c r="AKC56" s="6"/>
      <c r="AKD56" s="6"/>
      <c r="AKE56" s="6"/>
      <c r="AKF56" s="6"/>
      <c r="AKG56" s="6"/>
      <c r="AKH56" s="6"/>
      <c r="AKI56" s="6"/>
      <c r="AKJ56" s="6"/>
      <c r="AKK56" s="6"/>
      <c r="AKL56" s="6"/>
      <c r="AKM56" s="6"/>
      <c r="AKN56" s="6"/>
      <c r="AKO56" s="6"/>
      <c r="AKP56" s="6"/>
      <c r="AKQ56" s="6"/>
      <c r="AKR56" s="6"/>
      <c r="AKS56" s="6"/>
      <c r="AKT56" s="6"/>
      <c r="AKU56" s="6"/>
      <c r="AKV56" s="6"/>
      <c r="AKW56" s="6"/>
      <c r="AKX56" s="6"/>
      <c r="AKY56" s="6"/>
      <c r="AKZ56" s="6"/>
      <c r="ALA56" s="6"/>
      <c r="ALB56" s="6"/>
      <c r="ALC56" s="6"/>
      <c r="ALD56" s="6"/>
      <c r="ALE56" s="6"/>
      <c r="ALF56" s="6"/>
      <c r="ALG56" s="6"/>
      <c r="ALH56" s="6"/>
      <c r="ALI56" s="6"/>
      <c r="ALJ56" s="6"/>
      <c r="ALK56" s="6"/>
      <c r="ALL56" s="6"/>
      <c r="ALM56" s="6"/>
      <c r="ALN56" s="6"/>
      <c r="ALO56" s="6"/>
      <c r="ALP56" s="6"/>
      <c r="ALQ56" s="6"/>
      <c r="ALR56" s="6"/>
      <c r="ALS56" s="6"/>
      <c r="ALT56" s="6"/>
      <c r="ALU56" s="6"/>
      <c r="ALV56" s="6"/>
    </row>
    <row r="57" spans="1:1010" s="5" customForma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6"/>
      <c r="TS57" s="6"/>
      <c r="TT57" s="6"/>
      <c r="TU57" s="6"/>
      <c r="TV57" s="6"/>
      <c r="TW57" s="6"/>
      <c r="TX57" s="6"/>
      <c r="TY57" s="6"/>
      <c r="TZ57" s="6"/>
      <c r="UA57" s="6"/>
      <c r="UB57" s="6"/>
      <c r="UC57" s="6"/>
      <c r="UD57" s="6"/>
      <c r="UE57" s="6"/>
      <c r="UF57" s="6"/>
      <c r="UG57" s="6"/>
      <c r="UH57" s="6"/>
      <c r="UI57" s="6"/>
      <c r="UJ57" s="6"/>
      <c r="UK57" s="6"/>
      <c r="UL57" s="6"/>
      <c r="UM57" s="6"/>
      <c r="UN57" s="6"/>
      <c r="UO57" s="6"/>
      <c r="UP57" s="6"/>
      <c r="UQ57" s="6"/>
      <c r="UR57" s="6"/>
      <c r="US57" s="6"/>
      <c r="UT57" s="6"/>
      <c r="UU57" s="6"/>
      <c r="UV57" s="6"/>
      <c r="UW57" s="6"/>
      <c r="UX57" s="6"/>
      <c r="UY57" s="6"/>
      <c r="UZ57" s="6"/>
      <c r="VA57" s="6"/>
      <c r="VB57" s="6"/>
      <c r="VC57" s="6"/>
      <c r="VD57" s="6"/>
      <c r="VE57" s="6"/>
      <c r="VF57" s="6"/>
      <c r="VG57" s="6"/>
      <c r="VH57" s="6"/>
      <c r="VI57" s="6"/>
      <c r="VJ57" s="6"/>
      <c r="VK57" s="6"/>
      <c r="VL57" s="6"/>
      <c r="VM57" s="6"/>
      <c r="VN57" s="6"/>
      <c r="VO57" s="6"/>
      <c r="VP57" s="6"/>
      <c r="VQ57" s="6"/>
      <c r="VR57" s="6"/>
      <c r="VS57" s="6"/>
      <c r="VT57" s="6"/>
      <c r="VU57" s="6"/>
      <c r="VV57" s="6"/>
      <c r="VW57" s="6"/>
      <c r="VX57" s="6"/>
      <c r="VY57" s="6"/>
      <c r="VZ57" s="6"/>
      <c r="WA57" s="6"/>
      <c r="WB57" s="6"/>
      <c r="WC57" s="6"/>
      <c r="WD57" s="6"/>
      <c r="WE57" s="6"/>
      <c r="WF57" s="6"/>
      <c r="WG57" s="6"/>
      <c r="WH57" s="6"/>
      <c r="WI57" s="6"/>
      <c r="WJ57" s="6"/>
      <c r="WK57" s="6"/>
      <c r="WL57" s="6"/>
      <c r="WM57" s="6"/>
      <c r="WN57" s="6"/>
      <c r="WO57" s="6"/>
      <c r="WP57" s="6"/>
      <c r="WQ57" s="6"/>
      <c r="WR57" s="6"/>
      <c r="WS57" s="6"/>
      <c r="WT57" s="6"/>
      <c r="WU57" s="6"/>
      <c r="WV57" s="6"/>
      <c r="WW57" s="6"/>
      <c r="WX57" s="6"/>
      <c r="WY57" s="6"/>
      <c r="WZ57" s="6"/>
      <c r="XA57" s="6"/>
      <c r="XB57" s="6"/>
      <c r="XC57" s="6"/>
      <c r="XD57" s="6"/>
      <c r="XE57" s="6"/>
      <c r="XF57" s="6"/>
      <c r="XG57" s="6"/>
      <c r="XH57" s="6"/>
      <c r="XI57" s="6"/>
      <c r="XJ57" s="6"/>
      <c r="XK57" s="6"/>
      <c r="XL57" s="6"/>
      <c r="XM57" s="6"/>
      <c r="XN57" s="6"/>
      <c r="XO57" s="6"/>
      <c r="XP57" s="6"/>
      <c r="XQ57" s="6"/>
      <c r="XR57" s="6"/>
      <c r="XS57" s="6"/>
      <c r="XT57" s="6"/>
      <c r="XU57" s="6"/>
      <c r="XV57" s="6"/>
      <c r="XW57" s="6"/>
      <c r="XX57" s="6"/>
      <c r="XY57" s="6"/>
      <c r="XZ57" s="6"/>
      <c r="YA57" s="6"/>
      <c r="YB57" s="6"/>
      <c r="YC57" s="6"/>
      <c r="YD57" s="6"/>
      <c r="YE57" s="6"/>
      <c r="YF57" s="6"/>
      <c r="YG57" s="6"/>
      <c r="YH57" s="6"/>
      <c r="YI57" s="6"/>
      <c r="YJ57" s="6"/>
      <c r="YK57" s="6"/>
      <c r="YL57" s="6"/>
      <c r="YM57" s="6"/>
      <c r="YN57" s="6"/>
      <c r="YO57" s="6"/>
      <c r="YP57" s="6"/>
      <c r="YQ57" s="6"/>
      <c r="YR57" s="6"/>
      <c r="YS57" s="6"/>
      <c r="YT57" s="6"/>
      <c r="YU57" s="6"/>
      <c r="YV57" s="6"/>
      <c r="YW57" s="6"/>
      <c r="YX57" s="6"/>
      <c r="YY57" s="6"/>
      <c r="YZ57" s="6"/>
      <c r="ZA57" s="6"/>
      <c r="ZB57" s="6"/>
      <c r="ZC57" s="6"/>
      <c r="ZD57" s="6"/>
      <c r="ZE57" s="6"/>
      <c r="ZF57" s="6"/>
      <c r="ZG57" s="6"/>
      <c r="ZH57" s="6"/>
      <c r="ZI57" s="6"/>
      <c r="ZJ57" s="6"/>
      <c r="ZK57" s="6"/>
      <c r="ZL57" s="6"/>
      <c r="ZM57" s="6"/>
      <c r="ZN57" s="6"/>
      <c r="ZO57" s="6"/>
      <c r="ZP57" s="6"/>
      <c r="ZQ57" s="6"/>
      <c r="ZR57" s="6"/>
      <c r="ZS57" s="6"/>
      <c r="ZT57" s="6"/>
      <c r="ZU57" s="6"/>
      <c r="ZV57" s="6"/>
      <c r="ZW57" s="6"/>
      <c r="ZX57" s="6"/>
      <c r="ZY57" s="6"/>
      <c r="ZZ57" s="6"/>
      <c r="AAA57" s="6"/>
      <c r="AAB57" s="6"/>
      <c r="AAC57" s="6"/>
      <c r="AAD57" s="6"/>
      <c r="AAE57" s="6"/>
      <c r="AAF57" s="6"/>
      <c r="AAG57" s="6"/>
      <c r="AAH57" s="6"/>
      <c r="AAI57" s="6"/>
      <c r="AAJ57" s="6"/>
      <c r="AAK57" s="6"/>
      <c r="AAL57" s="6"/>
      <c r="AAM57" s="6"/>
      <c r="AAN57" s="6"/>
      <c r="AAO57" s="6"/>
      <c r="AAP57" s="6"/>
      <c r="AAQ57" s="6"/>
      <c r="AAR57" s="6"/>
      <c r="AAS57" s="6"/>
      <c r="AAT57" s="6"/>
      <c r="AAU57" s="6"/>
      <c r="AAV57" s="6"/>
      <c r="AAW57" s="6"/>
      <c r="AAX57" s="6"/>
      <c r="AAY57" s="6"/>
      <c r="AAZ57" s="6"/>
      <c r="ABA57" s="6"/>
      <c r="ABB57" s="6"/>
      <c r="ABC57" s="6"/>
      <c r="ABD57" s="6"/>
      <c r="ABE57" s="6"/>
      <c r="ABF57" s="6"/>
      <c r="ABG57" s="6"/>
      <c r="ABH57" s="6"/>
      <c r="ABI57" s="6"/>
      <c r="ABJ57" s="6"/>
      <c r="ABK57" s="6"/>
      <c r="ABL57" s="6"/>
      <c r="ABM57" s="6"/>
      <c r="ABN57" s="6"/>
      <c r="ABO57" s="6"/>
      <c r="ABP57" s="6"/>
      <c r="ABQ57" s="6"/>
      <c r="ABR57" s="6"/>
      <c r="ABS57" s="6"/>
      <c r="ABT57" s="6"/>
      <c r="ABU57" s="6"/>
      <c r="ABV57" s="6"/>
      <c r="ABW57" s="6"/>
      <c r="ABX57" s="6"/>
      <c r="ABY57" s="6"/>
      <c r="ABZ57" s="6"/>
      <c r="ACA57" s="6"/>
      <c r="ACB57" s="6"/>
      <c r="ACC57" s="6"/>
      <c r="ACD57" s="6"/>
      <c r="ACE57" s="6"/>
      <c r="ACF57" s="6"/>
      <c r="ACG57" s="6"/>
      <c r="ACH57" s="6"/>
      <c r="ACI57" s="6"/>
      <c r="ACJ57" s="6"/>
      <c r="ACK57" s="6"/>
      <c r="ACL57" s="6"/>
      <c r="ACM57" s="6"/>
      <c r="ACN57" s="6"/>
      <c r="ACO57" s="6"/>
      <c r="ACP57" s="6"/>
      <c r="ACQ57" s="6"/>
      <c r="ACR57" s="6"/>
      <c r="ACS57" s="6"/>
      <c r="ACT57" s="6"/>
      <c r="ACU57" s="6"/>
      <c r="ACV57" s="6"/>
      <c r="ACW57" s="6"/>
      <c r="ACX57" s="6"/>
      <c r="ACY57" s="6"/>
      <c r="ACZ57" s="6"/>
      <c r="ADA57" s="6"/>
      <c r="ADB57" s="6"/>
      <c r="ADC57" s="6"/>
      <c r="ADD57" s="6"/>
      <c r="ADE57" s="6"/>
      <c r="ADF57" s="6"/>
      <c r="ADG57" s="6"/>
      <c r="ADH57" s="6"/>
      <c r="ADI57" s="6"/>
      <c r="ADJ57" s="6"/>
      <c r="ADK57" s="6"/>
      <c r="ADL57" s="6"/>
      <c r="ADM57" s="6"/>
      <c r="ADN57" s="6"/>
      <c r="ADO57" s="6"/>
      <c r="ADP57" s="6"/>
      <c r="ADQ57" s="6"/>
      <c r="ADR57" s="6"/>
      <c r="ADS57" s="6"/>
      <c r="ADT57" s="6"/>
      <c r="ADU57" s="6"/>
      <c r="ADV57" s="6"/>
      <c r="ADW57" s="6"/>
      <c r="ADX57" s="6"/>
      <c r="ADY57" s="6"/>
      <c r="ADZ57" s="6"/>
      <c r="AEA57" s="6"/>
      <c r="AEB57" s="6"/>
      <c r="AEC57" s="6"/>
      <c r="AED57" s="6"/>
      <c r="AEE57" s="6"/>
      <c r="AEF57" s="6"/>
      <c r="AEG57" s="6"/>
      <c r="AEH57" s="6"/>
      <c r="AEI57" s="6"/>
      <c r="AEJ57" s="6"/>
      <c r="AEK57" s="6"/>
      <c r="AEL57" s="6"/>
      <c r="AEM57" s="6"/>
      <c r="AEN57" s="6"/>
      <c r="AEO57" s="6"/>
      <c r="AEP57" s="6"/>
      <c r="AEQ57" s="6"/>
      <c r="AER57" s="6"/>
      <c r="AES57" s="6"/>
      <c r="AET57" s="6"/>
      <c r="AEU57" s="6"/>
      <c r="AEV57" s="6"/>
      <c r="AEW57" s="6"/>
      <c r="AEX57" s="6"/>
      <c r="AEY57" s="6"/>
      <c r="AEZ57" s="6"/>
      <c r="AFA57" s="6"/>
      <c r="AFB57" s="6"/>
      <c r="AFC57" s="6"/>
      <c r="AFD57" s="6"/>
      <c r="AFE57" s="6"/>
      <c r="AFF57" s="6"/>
      <c r="AFG57" s="6"/>
      <c r="AFH57" s="6"/>
      <c r="AFI57" s="6"/>
      <c r="AFJ57" s="6"/>
      <c r="AFK57" s="6"/>
      <c r="AFL57" s="6"/>
      <c r="AFM57" s="6"/>
      <c r="AFN57" s="6"/>
      <c r="AFO57" s="6"/>
      <c r="AFP57" s="6"/>
      <c r="AFQ57" s="6"/>
      <c r="AFR57" s="6"/>
      <c r="AFS57" s="6"/>
      <c r="AFT57" s="6"/>
      <c r="AFU57" s="6"/>
      <c r="AFV57" s="6"/>
      <c r="AFW57" s="6"/>
      <c r="AFX57" s="6"/>
      <c r="AFY57" s="6"/>
      <c r="AFZ57" s="6"/>
      <c r="AGA57" s="6"/>
      <c r="AGB57" s="6"/>
      <c r="AGC57" s="6"/>
      <c r="AGD57" s="6"/>
      <c r="AGE57" s="6"/>
      <c r="AGF57" s="6"/>
      <c r="AGG57" s="6"/>
      <c r="AGH57" s="6"/>
      <c r="AGI57" s="6"/>
      <c r="AGJ57" s="6"/>
      <c r="AGK57" s="6"/>
      <c r="AGL57" s="6"/>
      <c r="AGM57" s="6"/>
      <c r="AGN57" s="6"/>
      <c r="AGO57" s="6"/>
      <c r="AGP57" s="6"/>
      <c r="AGQ57" s="6"/>
      <c r="AGR57" s="6"/>
      <c r="AGS57" s="6"/>
      <c r="AGT57" s="6"/>
      <c r="AGU57" s="6"/>
      <c r="AGV57" s="6"/>
      <c r="AGW57" s="6"/>
      <c r="AGX57" s="6"/>
      <c r="AGY57" s="6"/>
      <c r="AGZ57" s="6"/>
      <c r="AHA57" s="6"/>
      <c r="AHB57" s="6"/>
      <c r="AHC57" s="6"/>
      <c r="AHD57" s="6"/>
      <c r="AHE57" s="6"/>
      <c r="AHF57" s="6"/>
      <c r="AHG57" s="6"/>
      <c r="AHH57" s="6"/>
      <c r="AHI57" s="6"/>
      <c r="AHJ57" s="6"/>
      <c r="AHK57" s="6"/>
      <c r="AHL57" s="6"/>
      <c r="AHM57" s="6"/>
      <c r="AHN57" s="6"/>
      <c r="AHO57" s="6"/>
      <c r="AHP57" s="6"/>
      <c r="AHQ57" s="6"/>
      <c r="AHR57" s="6"/>
      <c r="AHS57" s="6"/>
      <c r="AHT57" s="6"/>
      <c r="AHU57" s="6"/>
      <c r="AHV57" s="6"/>
      <c r="AHW57" s="6"/>
      <c r="AHX57" s="6"/>
      <c r="AHY57" s="6"/>
      <c r="AHZ57" s="6"/>
      <c r="AIA57" s="6"/>
      <c r="AIB57" s="6"/>
      <c r="AIC57" s="6"/>
      <c r="AID57" s="6"/>
      <c r="AIE57" s="6"/>
      <c r="AIF57" s="6"/>
      <c r="AIG57" s="6"/>
      <c r="AIH57" s="6"/>
      <c r="AII57" s="6"/>
      <c r="AIJ57" s="6"/>
      <c r="AIK57" s="6"/>
      <c r="AIL57" s="6"/>
      <c r="AIM57" s="6"/>
      <c r="AIN57" s="6"/>
      <c r="AIO57" s="6"/>
      <c r="AIP57" s="6"/>
      <c r="AIQ57" s="6"/>
      <c r="AIR57" s="6"/>
      <c r="AIS57" s="6"/>
      <c r="AIT57" s="6"/>
      <c r="AIU57" s="6"/>
      <c r="AIV57" s="6"/>
      <c r="AIW57" s="6"/>
      <c r="AIX57" s="6"/>
      <c r="AIY57" s="6"/>
      <c r="AIZ57" s="6"/>
      <c r="AJA57" s="6"/>
      <c r="AJB57" s="6"/>
      <c r="AJC57" s="6"/>
      <c r="AJD57" s="6"/>
      <c r="AJE57" s="6"/>
      <c r="AJF57" s="6"/>
      <c r="AJG57" s="6"/>
      <c r="AJH57" s="6"/>
      <c r="AJI57" s="6"/>
      <c r="AJJ57" s="6"/>
      <c r="AJK57" s="6"/>
      <c r="AJL57" s="6"/>
      <c r="AJM57" s="6"/>
      <c r="AJN57" s="6"/>
      <c r="AJO57" s="6"/>
      <c r="AJP57" s="6"/>
      <c r="AJQ57" s="6"/>
      <c r="AJR57" s="6"/>
      <c r="AJS57" s="6"/>
      <c r="AJT57" s="6"/>
      <c r="AJU57" s="6"/>
      <c r="AJV57" s="6"/>
      <c r="AJW57" s="6"/>
      <c r="AJX57" s="6"/>
      <c r="AJY57" s="6"/>
      <c r="AJZ57" s="6"/>
      <c r="AKA57" s="6"/>
      <c r="AKB57" s="6"/>
      <c r="AKC57" s="6"/>
      <c r="AKD57" s="6"/>
      <c r="AKE57" s="6"/>
      <c r="AKF57" s="6"/>
      <c r="AKG57" s="6"/>
      <c r="AKH57" s="6"/>
      <c r="AKI57" s="6"/>
      <c r="AKJ57" s="6"/>
      <c r="AKK57" s="6"/>
      <c r="AKL57" s="6"/>
      <c r="AKM57" s="6"/>
      <c r="AKN57" s="6"/>
      <c r="AKO57" s="6"/>
      <c r="AKP57" s="6"/>
      <c r="AKQ57" s="6"/>
      <c r="AKR57" s="6"/>
      <c r="AKS57" s="6"/>
      <c r="AKT57" s="6"/>
      <c r="AKU57" s="6"/>
      <c r="AKV57" s="6"/>
      <c r="AKW57" s="6"/>
      <c r="AKX57" s="6"/>
      <c r="AKY57" s="6"/>
      <c r="AKZ57" s="6"/>
      <c r="ALA57" s="6"/>
      <c r="ALB57" s="6"/>
      <c r="ALC57" s="6"/>
      <c r="ALD57" s="6"/>
      <c r="ALE57" s="6"/>
      <c r="ALF57" s="6"/>
      <c r="ALG57" s="6"/>
      <c r="ALH57" s="6"/>
      <c r="ALI57" s="6"/>
      <c r="ALJ57" s="6"/>
      <c r="ALK57" s="6"/>
      <c r="ALL57" s="6"/>
      <c r="ALM57" s="6"/>
      <c r="ALN57" s="6"/>
      <c r="ALO57" s="6"/>
      <c r="ALP57" s="6"/>
      <c r="ALQ57" s="6"/>
      <c r="ALR57" s="6"/>
      <c r="ALS57" s="6"/>
      <c r="ALT57" s="6"/>
      <c r="ALU57" s="6"/>
      <c r="ALV57" s="6"/>
    </row>
    <row r="58" spans="1:1010" s="5" customForma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  <c r="ABO58" s="6"/>
      <c r="ABP58" s="6"/>
      <c r="ABQ58" s="6"/>
      <c r="ABR58" s="6"/>
      <c r="ABS58" s="6"/>
      <c r="ABT58" s="6"/>
      <c r="ABU58" s="6"/>
      <c r="ABV58" s="6"/>
      <c r="ABW58" s="6"/>
      <c r="ABX58" s="6"/>
      <c r="ABY58" s="6"/>
      <c r="ABZ58" s="6"/>
      <c r="ACA58" s="6"/>
      <c r="ACB58" s="6"/>
      <c r="ACC58" s="6"/>
      <c r="ACD58" s="6"/>
      <c r="ACE58" s="6"/>
      <c r="ACF58" s="6"/>
      <c r="ACG58" s="6"/>
      <c r="ACH58" s="6"/>
      <c r="ACI58" s="6"/>
      <c r="ACJ58" s="6"/>
      <c r="ACK58" s="6"/>
      <c r="ACL58" s="6"/>
      <c r="ACM58" s="6"/>
      <c r="ACN58" s="6"/>
      <c r="ACO58" s="6"/>
      <c r="ACP58" s="6"/>
      <c r="ACQ58" s="6"/>
      <c r="ACR58" s="6"/>
      <c r="ACS58" s="6"/>
      <c r="ACT58" s="6"/>
      <c r="ACU58" s="6"/>
      <c r="ACV58" s="6"/>
      <c r="ACW58" s="6"/>
      <c r="ACX58" s="6"/>
      <c r="ACY58" s="6"/>
      <c r="ACZ58" s="6"/>
      <c r="ADA58" s="6"/>
      <c r="ADB58" s="6"/>
      <c r="ADC58" s="6"/>
      <c r="ADD58" s="6"/>
      <c r="ADE58" s="6"/>
      <c r="ADF58" s="6"/>
      <c r="ADG58" s="6"/>
      <c r="ADH58" s="6"/>
      <c r="ADI58" s="6"/>
      <c r="ADJ58" s="6"/>
      <c r="ADK58" s="6"/>
      <c r="ADL58" s="6"/>
      <c r="ADM58" s="6"/>
      <c r="ADN58" s="6"/>
      <c r="ADO58" s="6"/>
      <c r="ADP58" s="6"/>
      <c r="ADQ58" s="6"/>
      <c r="ADR58" s="6"/>
      <c r="ADS58" s="6"/>
      <c r="ADT58" s="6"/>
      <c r="ADU58" s="6"/>
      <c r="ADV58" s="6"/>
      <c r="ADW58" s="6"/>
      <c r="ADX58" s="6"/>
      <c r="ADY58" s="6"/>
      <c r="ADZ58" s="6"/>
      <c r="AEA58" s="6"/>
      <c r="AEB58" s="6"/>
      <c r="AEC58" s="6"/>
      <c r="AED58" s="6"/>
      <c r="AEE58" s="6"/>
      <c r="AEF58" s="6"/>
      <c r="AEG58" s="6"/>
      <c r="AEH58" s="6"/>
      <c r="AEI58" s="6"/>
      <c r="AEJ58" s="6"/>
      <c r="AEK58" s="6"/>
      <c r="AEL58" s="6"/>
      <c r="AEM58" s="6"/>
      <c r="AEN58" s="6"/>
      <c r="AEO58" s="6"/>
      <c r="AEP58" s="6"/>
      <c r="AEQ58" s="6"/>
      <c r="AER58" s="6"/>
      <c r="AES58" s="6"/>
      <c r="AET58" s="6"/>
      <c r="AEU58" s="6"/>
      <c r="AEV58" s="6"/>
      <c r="AEW58" s="6"/>
      <c r="AEX58" s="6"/>
      <c r="AEY58" s="6"/>
      <c r="AEZ58" s="6"/>
      <c r="AFA58" s="6"/>
      <c r="AFB58" s="6"/>
      <c r="AFC58" s="6"/>
      <c r="AFD58" s="6"/>
      <c r="AFE58" s="6"/>
      <c r="AFF58" s="6"/>
      <c r="AFG58" s="6"/>
      <c r="AFH58" s="6"/>
      <c r="AFI58" s="6"/>
      <c r="AFJ58" s="6"/>
      <c r="AFK58" s="6"/>
      <c r="AFL58" s="6"/>
      <c r="AFM58" s="6"/>
      <c r="AFN58" s="6"/>
      <c r="AFO58" s="6"/>
      <c r="AFP58" s="6"/>
      <c r="AFQ58" s="6"/>
      <c r="AFR58" s="6"/>
      <c r="AFS58" s="6"/>
      <c r="AFT58" s="6"/>
      <c r="AFU58" s="6"/>
      <c r="AFV58" s="6"/>
      <c r="AFW58" s="6"/>
      <c r="AFX58" s="6"/>
      <c r="AFY58" s="6"/>
      <c r="AFZ58" s="6"/>
      <c r="AGA58" s="6"/>
      <c r="AGB58" s="6"/>
      <c r="AGC58" s="6"/>
      <c r="AGD58" s="6"/>
      <c r="AGE58" s="6"/>
      <c r="AGF58" s="6"/>
      <c r="AGG58" s="6"/>
      <c r="AGH58" s="6"/>
      <c r="AGI58" s="6"/>
      <c r="AGJ58" s="6"/>
      <c r="AGK58" s="6"/>
      <c r="AGL58" s="6"/>
      <c r="AGM58" s="6"/>
      <c r="AGN58" s="6"/>
      <c r="AGO58" s="6"/>
      <c r="AGP58" s="6"/>
      <c r="AGQ58" s="6"/>
      <c r="AGR58" s="6"/>
      <c r="AGS58" s="6"/>
      <c r="AGT58" s="6"/>
      <c r="AGU58" s="6"/>
      <c r="AGV58" s="6"/>
      <c r="AGW58" s="6"/>
      <c r="AGX58" s="6"/>
      <c r="AGY58" s="6"/>
      <c r="AGZ58" s="6"/>
      <c r="AHA58" s="6"/>
      <c r="AHB58" s="6"/>
      <c r="AHC58" s="6"/>
      <c r="AHD58" s="6"/>
      <c r="AHE58" s="6"/>
      <c r="AHF58" s="6"/>
      <c r="AHG58" s="6"/>
      <c r="AHH58" s="6"/>
      <c r="AHI58" s="6"/>
      <c r="AHJ58" s="6"/>
      <c r="AHK58" s="6"/>
      <c r="AHL58" s="6"/>
      <c r="AHM58" s="6"/>
      <c r="AHN58" s="6"/>
      <c r="AHO58" s="6"/>
      <c r="AHP58" s="6"/>
      <c r="AHQ58" s="6"/>
      <c r="AHR58" s="6"/>
      <c r="AHS58" s="6"/>
      <c r="AHT58" s="6"/>
      <c r="AHU58" s="6"/>
      <c r="AHV58" s="6"/>
      <c r="AHW58" s="6"/>
      <c r="AHX58" s="6"/>
      <c r="AHY58" s="6"/>
      <c r="AHZ58" s="6"/>
      <c r="AIA58" s="6"/>
      <c r="AIB58" s="6"/>
      <c r="AIC58" s="6"/>
      <c r="AID58" s="6"/>
      <c r="AIE58" s="6"/>
      <c r="AIF58" s="6"/>
      <c r="AIG58" s="6"/>
      <c r="AIH58" s="6"/>
      <c r="AII58" s="6"/>
      <c r="AIJ58" s="6"/>
      <c r="AIK58" s="6"/>
      <c r="AIL58" s="6"/>
      <c r="AIM58" s="6"/>
      <c r="AIN58" s="6"/>
      <c r="AIO58" s="6"/>
      <c r="AIP58" s="6"/>
      <c r="AIQ58" s="6"/>
      <c r="AIR58" s="6"/>
      <c r="AIS58" s="6"/>
      <c r="AIT58" s="6"/>
      <c r="AIU58" s="6"/>
      <c r="AIV58" s="6"/>
      <c r="AIW58" s="6"/>
      <c r="AIX58" s="6"/>
      <c r="AIY58" s="6"/>
      <c r="AIZ58" s="6"/>
      <c r="AJA58" s="6"/>
      <c r="AJB58" s="6"/>
      <c r="AJC58" s="6"/>
      <c r="AJD58" s="6"/>
      <c r="AJE58" s="6"/>
      <c r="AJF58" s="6"/>
      <c r="AJG58" s="6"/>
      <c r="AJH58" s="6"/>
      <c r="AJI58" s="6"/>
      <c r="AJJ58" s="6"/>
      <c r="AJK58" s="6"/>
      <c r="AJL58" s="6"/>
      <c r="AJM58" s="6"/>
      <c r="AJN58" s="6"/>
      <c r="AJO58" s="6"/>
      <c r="AJP58" s="6"/>
      <c r="AJQ58" s="6"/>
      <c r="AJR58" s="6"/>
      <c r="AJS58" s="6"/>
      <c r="AJT58" s="6"/>
      <c r="AJU58" s="6"/>
      <c r="AJV58" s="6"/>
      <c r="AJW58" s="6"/>
      <c r="AJX58" s="6"/>
      <c r="AJY58" s="6"/>
      <c r="AJZ58" s="6"/>
      <c r="AKA58" s="6"/>
      <c r="AKB58" s="6"/>
      <c r="AKC58" s="6"/>
      <c r="AKD58" s="6"/>
      <c r="AKE58" s="6"/>
      <c r="AKF58" s="6"/>
      <c r="AKG58" s="6"/>
      <c r="AKH58" s="6"/>
      <c r="AKI58" s="6"/>
      <c r="AKJ58" s="6"/>
      <c r="AKK58" s="6"/>
      <c r="AKL58" s="6"/>
      <c r="AKM58" s="6"/>
      <c r="AKN58" s="6"/>
      <c r="AKO58" s="6"/>
      <c r="AKP58" s="6"/>
      <c r="AKQ58" s="6"/>
      <c r="AKR58" s="6"/>
      <c r="AKS58" s="6"/>
      <c r="AKT58" s="6"/>
      <c r="AKU58" s="6"/>
      <c r="AKV58" s="6"/>
      <c r="AKW58" s="6"/>
      <c r="AKX58" s="6"/>
      <c r="AKY58" s="6"/>
      <c r="AKZ58" s="6"/>
      <c r="ALA58" s="6"/>
      <c r="ALB58" s="6"/>
      <c r="ALC58" s="6"/>
      <c r="ALD58" s="6"/>
      <c r="ALE58" s="6"/>
      <c r="ALF58" s="6"/>
      <c r="ALG58" s="6"/>
      <c r="ALH58" s="6"/>
      <c r="ALI58" s="6"/>
      <c r="ALJ58" s="6"/>
      <c r="ALK58" s="6"/>
      <c r="ALL58" s="6"/>
      <c r="ALM58" s="6"/>
      <c r="ALN58" s="6"/>
      <c r="ALO58" s="6"/>
      <c r="ALP58" s="6"/>
      <c r="ALQ58" s="6"/>
      <c r="ALR58" s="6"/>
      <c r="ALS58" s="6"/>
      <c r="ALT58" s="6"/>
      <c r="ALU58" s="6"/>
      <c r="ALV58" s="6"/>
    </row>
    <row r="59" spans="1:1010" s="5" customForma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  <c r="ABM59" s="6"/>
      <c r="ABN59" s="6"/>
      <c r="ABO59" s="6"/>
      <c r="ABP59" s="6"/>
      <c r="ABQ59" s="6"/>
      <c r="ABR59" s="6"/>
      <c r="ABS59" s="6"/>
      <c r="ABT59" s="6"/>
      <c r="ABU59" s="6"/>
      <c r="ABV59" s="6"/>
      <c r="ABW59" s="6"/>
      <c r="ABX59" s="6"/>
      <c r="ABY59" s="6"/>
      <c r="ABZ59" s="6"/>
      <c r="ACA59" s="6"/>
      <c r="ACB59" s="6"/>
      <c r="ACC59" s="6"/>
      <c r="ACD59" s="6"/>
      <c r="ACE59" s="6"/>
      <c r="ACF59" s="6"/>
      <c r="ACG59" s="6"/>
      <c r="ACH59" s="6"/>
      <c r="ACI59" s="6"/>
      <c r="ACJ59" s="6"/>
      <c r="ACK59" s="6"/>
      <c r="ACL59" s="6"/>
      <c r="ACM59" s="6"/>
      <c r="ACN59" s="6"/>
      <c r="ACO59" s="6"/>
      <c r="ACP59" s="6"/>
      <c r="ACQ59" s="6"/>
      <c r="ACR59" s="6"/>
      <c r="ACS59" s="6"/>
      <c r="ACT59" s="6"/>
      <c r="ACU59" s="6"/>
      <c r="ACV59" s="6"/>
      <c r="ACW59" s="6"/>
      <c r="ACX59" s="6"/>
      <c r="ACY59" s="6"/>
      <c r="ACZ59" s="6"/>
      <c r="ADA59" s="6"/>
      <c r="ADB59" s="6"/>
      <c r="ADC59" s="6"/>
      <c r="ADD59" s="6"/>
      <c r="ADE59" s="6"/>
      <c r="ADF59" s="6"/>
      <c r="ADG59" s="6"/>
      <c r="ADH59" s="6"/>
      <c r="ADI59" s="6"/>
      <c r="ADJ59" s="6"/>
      <c r="ADK59" s="6"/>
      <c r="ADL59" s="6"/>
      <c r="ADM59" s="6"/>
      <c r="ADN59" s="6"/>
      <c r="ADO59" s="6"/>
      <c r="ADP59" s="6"/>
      <c r="ADQ59" s="6"/>
      <c r="ADR59" s="6"/>
      <c r="ADS59" s="6"/>
      <c r="ADT59" s="6"/>
      <c r="ADU59" s="6"/>
      <c r="ADV59" s="6"/>
      <c r="ADW59" s="6"/>
      <c r="ADX59" s="6"/>
      <c r="ADY59" s="6"/>
      <c r="ADZ59" s="6"/>
      <c r="AEA59" s="6"/>
      <c r="AEB59" s="6"/>
      <c r="AEC59" s="6"/>
      <c r="AED59" s="6"/>
      <c r="AEE59" s="6"/>
      <c r="AEF59" s="6"/>
      <c r="AEG59" s="6"/>
      <c r="AEH59" s="6"/>
      <c r="AEI59" s="6"/>
      <c r="AEJ59" s="6"/>
      <c r="AEK59" s="6"/>
      <c r="AEL59" s="6"/>
      <c r="AEM59" s="6"/>
      <c r="AEN59" s="6"/>
      <c r="AEO59" s="6"/>
      <c r="AEP59" s="6"/>
      <c r="AEQ59" s="6"/>
      <c r="AER59" s="6"/>
      <c r="AES59" s="6"/>
      <c r="AET59" s="6"/>
      <c r="AEU59" s="6"/>
      <c r="AEV59" s="6"/>
      <c r="AEW59" s="6"/>
      <c r="AEX59" s="6"/>
      <c r="AEY59" s="6"/>
      <c r="AEZ59" s="6"/>
      <c r="AFA59" s="6"/>
      <c r="AFB59" s="6"/>
      <c r="AFC59" s="6"/>
      <c r="AFD59" s="6"/>
      <c r="AFE59" s="6"/>
      <c r="AFF59" s="6"/>
      <c r="AFG59" s="6"/>
      <c r="AFH59" s="6"/>
      <c r="AFI59" s="6"/>
      <c r="AFJ59" s="6"/>
      <c r="AFK59" s="6"/>
      <c r="AFL59" s="6"/>
      <c r="AFM59" s="6"/>
      <c r="AFN59" s="6"/>
      <c r="AFO59" s="6"/>
      <c r="AFP59" s="6"/>
      <c r="AFQ59" s="6"/>
      <c r="AFR59" s="6"/>
      <c r="AFS59" s="6"/>
      <c r="AFT59" s="6"/>
      <c r="AFU59" s="6"/>
      <c r="AFV59" s="6"/>
      <c r="AFW59" s="6"/>
      <c r="AFX59" s="6"/>
      <c r="AFY59" s="6"/>
      <c r="AFZ59" s="6"/>
      <c r="AGA59" s="6"/>
      <c r="AGB59" s="6"/>
      <c r="AGC59" s="6"/>
      <c r="AGD59" s="6"/>
      <c r="AGE59" s="6"/>
      <c r="AGF59" s="6"/>
      <c r="AGG59" s="6"/>
      <c r="AGH59" s="6"/>
      <c r="AGI59" s="6"/>
      <c r="AGJ59" s="6"/>
      <c r="AGK59" s="6"/>
      <c r="AGL59" s="6"/>
      <c r="AGM59" s="6"/>
      <c r="AGN59" s="6"/>
      <c r="AGO59" s="6"/>
      <c r="AGP59" s="6"/>
      <c r="AGQ59" s="6"/>
      <c r="AGR59" s="6"/>
      <c r="AGS59" s="6"/>
      <c r="AGT59" s="6"/>
      <c r="AGU59" s="6"/>
      <c r="AGV59" s="6"/>
      <c r="AGW59" s="6"/>
      <c r="AGX59" s="6"/>
      <c r="AGY59" s="6"/>
      <c r="AGZ59" s="6"/>
      <c r="AHA59" s="6"/>
      <c r="AHB59" s="6"/>
      <c r="AHC59" s="6"/>
      <c r="AHD59" s="6"/>
      <c r="AHE59" s="6"/>
      <c r="AHF59" s="6"/>
      <c r="AHG59" s="6"/>
      <c r="AHH59" s="6"/>
      <c r="AHI59" s="6"/>
      <c r="AHJ59" s="6"/>
      <c r="AHK59" s="6"/>
      <c r="AHL59" s="6"/>
      <c r="AHM59" s="6"/>
      <c r="AHN59" s="6"/>
      <c r="AHO59" s="6"/>
      <c r="AHP59" s="6"/>
      <c r="AHQ59" s="6"/>
      <c r="AHR59" s="6"/>
      <c r="AHS59" s="6"/>
      <c r="AHT59" s="6"/>
      <c r="AHU59" s="6"/>
      <c r="AHV59" s="6"/>
      <c r="AHW59" s="6"/>
      <c r="AHX59" s="6"/>
      <c r="AHY59" s="6"/>
      <c r="AHZ59" s="6"/>
      <c r="AIA59" s="6"/>
      <c r="AIB59" s="6"/>
      <c r="AIC59" s="6"/>
      <c r="AID59" s="6"/>
      <c r="AIE59" s="6"/>
      <c r="AIF59" s="6"/>
      <c r="AIG59" s="6"/>
      <c r="AIH59" s="6"/>
      <c r="AII59" s="6"/>
      <c r="AIJ59" s="6"/>
      <c r="AIK59" s="6"/>
      <c r="AIL59" s="6"/>
      <c r="AIM59" s="6"/>
      <c r="AIN59" s="6"/>
      <c r="AIO59" s="6"/>
      <c r="AIP59" s="6"/>
      <c r="AIQ59" s="6"/>
      <c r="AIR59" s="6"/>
      <c r="AIS59" s="6"/>
      <c r="AIT59" s="6"/>
      <c r="AIU59" s="6"/>
      <c r="AIV59" s="6"/>
      <c r="AIW59" s="6"/>
      <c r="AIX59" s="6"/>
      <c r="AIY59" s="6"/>
      <c r="AIZ59" s="6"/>
      <c r="AJA59" s="6"/>
      <c r="AJB59" s="6"/>
      <c r="AJC59" s="6"/>
      <c r="AJD59" s="6"/>
      <c r="AJE59" s="6"/>
      <c r="AJF59" s="6"/>
      <c r="AJG59" s="6"/>
      <c r="AJH59" s="6"/>
      <c r="AJI59" s="6"/>
      <c r="AJJ59" s="6"/>
      <c r="AJK59" s="6"/>
      <c r="AJL59" s="6"/>
      <c r="AJM59" s="6"/>
      <c r="AJN59" s="6"/>
      <c r="AJO59" s="6"/>
      <c r="AJP59" s="6"/>
      <c r="AJQ59" s="6"/>
      <c r="AJR59" s="6"/>
      <c r="AJS59" s="6"/>
      <c r="AJT59" s="6"/>
      <c r="AJU59" s="6"/>
      <c r="AJV59" s="6"/>
      <c r="AJW59" s="6"/>
      <c r="AJX59" s="6"/>
      <c r="AJY59" s="6"/>
      <c r="AJZ59" s="6"/>
      <c r="AKA59" s="6"/>
      <c r="AKB59" s="6"/>
      <c r="AKC59" s="6"/>
      <c r="AKD59" s="6"/>
      <c r="AKE59" s="6"/>
      <c r="AKF59" s="6"/>
      <c r="AKG59" s="6"/>
      <c r="AKH59" s="6"/>
      <c r="AKI59" s="6"/>
      <c r="AKJ59" s="6"/>
      <c r="AKK59" s="6"/>
      <c r="AKL59" s="6"/>
      <c r="AKM59" s="6"/>
      <c r="AKN59" s="6"/>
      <c r="AKO59" s="6"/>
      <c r="AKP59" s="6"/>
      <c r="AKQ59" s="6"/>
      <c r="AKR59" s="6"/>
      <c r="AKS59" s="6"/>
      <c r="AKT59" s="6"/>
      <c r="AKU59" s="6"/>
      <c r="AKV59" s="6"/>
      <c r="AKW59" s="6"/>
      <c r="AKX59" s="6"/>
      <c r="AKY59" s="6"/>
      <c r="AKZ59" s="6"/>
      <c r="ALA59" s="6"/>
      <c r="ALB59" s="6"/>
      <c r="ALC59" s="6"/>
      <c r="ALD59" s="6"/>
      <c r="ALE59" s="6"/>
      <c r="ALF59" s="6"/>
      <c r="ALG59" s="6"/>
      <c r="ALH59" s="6"/>
      <c r="ALI59" s="6"/>
      <c r="ALJ59" s="6"/>
      <c r="ALK59" s="6"/>
      <c r="ALL59" s="6"/>
      <c r="ALM59" s="6"/>
      <c r="ALN59" s="6"/>
      <c r="ALO59" s="6"/>
      <c r="ALP59" s="6"/>
      <c r="ALQ59" s="6"/>
      <c r="ALR59" s="6"/>
      <c r="ALS59" s="6"/>
      <c r="ALT59" s="6"/>
      <c r="ALU59" s="6"/>
      <c r="ALV59" s="6"/>
    </row>
    <row r="60" spans="1:1010" s="5" customForma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F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VZ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  <c r="WT60" s="6"/>
      <c r="WU60" s="6"/>
      <c r="WV60" s="6"/>
      <c r="WW60" s="6"/>
      <c r="WX60" s="6"/>
      <c r="WY60" s="6"/>
      <c r="WZ60" s="6"/>
      <c r="XA60" s="6"/>
      <c r="XB60" s="6"/>
      <c r="XC60" s="6"/>
      <c r="XD60" s="6"/>
      <c r="XE60" s="6"/>
      <c r="XF60" s="6"/>
      <c r="XG60" s="6"/>
      <c r="XH60" s="6"/>
      <c r="XI60" s="6"/>
      <c r="XJ60" s="6"/>
      <c r="XK60" s="6"/>
      <c r="XL60" s="6"/>
      <c r="XM60" s="6"/>
      <c r="XN60" s="6"/>
      <c r="XO60" s="6"/>
      <c r="XP60" s="6"/>
      <c r="XQ60" s="6"/>
      <c r="XR60" s="6"/>
      <c r="XS60" s="6"/>
      <c r="XT60" s="6"/>
      <c r="XU60" s="6"/>
      <c r="XV60" s="6"/>
      <c r="XW60" s="6"/>
      <c r="XX60" s="6"/>
      <c r="XY60" s="6"/>
      <c r="XZ60" s="6"/>
      <c r="YA60" s="6"/>
      <c r="YB60" s="6"/>
      <c r="YC60" s="6"/>
      <c r="YD60" s="6"/>
      <c r="YE60" s="6"/>
      <c r="YF60" s="6"/>
      <c r="YG60" s="6"/>
      <c r="YH60" s="6"/>
      <c r="YI60" s="6"/>
      <c r="YJ60" s="6"/>
      <c r="YK60" s="6"/>
      <c r="YL60" s="6"/>
      <c r="YM60" s="6"/>
      <c r="YN60" s="6"/>
      <c r="YO60" s="6"/>
      <c r="YP60" s="6"/>
      <c r="YQ60" s="6"/>
      <c r="YR60" s="6"/>
      <c r="YS60" s="6"/>
      <c r="YT60" s="6"/>
      <c r="YU60" s="6"/>
      <c r="YV60" s="6"/>
      <c r="YW60" s="6"/>
      <c r="YX60" s="6"/>
      <c r="YY60" s="6"/>
      <c r="YZ60" s="6"/>
      <c r="ZA60" s="6"/>
      <c r="ZB60" s="6"/>
      <c r="ZC60" s="6"/>
      <c r="ZD60" s="6"/>
      <c r="ZE60" s="6"/>
      <c r="ZF60" s="6"/>
      <c r="ZG60" s="6"/>
      <c r="ZH60" s="6"/>
      <c r="ZI60" s="6"/>
      <c r="ZJ60" s="6"/>
      <c r="ZK60" s="6"/>
      <c r="ZL60" s="6"/>
      <c r="ZM60" s="6"/>
      <c r="ZN60" s="6"/>
      <c r="ZO60" s="6"/>
      <c r="ZP60" s="6"/>
      <c r="ZQ60" s="6"/>
      <c r="ZR60" s="6"/>
      <c r="ZS60" s="6"/>
      <c r="ZT60" s="6"/>
      <c r="ZU60" s="6"/>
      <c r="ZV60" s="6"/>
      <c r="ZW60" s="6"/>
      <c r="ZX60" s="6"/>
      <c r="ZY60" s="6"/>
      <c r="ZZ60" s="6"/>
      <c r="AAA60" s="6"/>
      <c r="AAB60" s="6"/>
      <c r="AAC60" s="6"/>
      <c r="AAD60" s="6"/>
      <c r="AAE60" s="6"/>
      <c r="AAF60" s="6"/>
      <c r="AAG60" s="6"/>
      <c r="AAH60" s="6"/>
      <c r="AAI60" s="6"/>
      <c r="AAJ60" s="6"/>
      <c r="AAK60" s="6"/>
      <c r="AAL60" s="6"/>
      <c r="AAM60" s="6"/>
      <c r="AAN60" s="6"/>
      <c r="AAO60" s="6"/>
      <c r="AAP60" s="6"/>
      <c r="AAQ60" s="6"/>
      <c r="AAR60" s="6"/>
      <c r="AAS60" s="6"/>
      <c r="AAT60" s="6"/>
      <c r="AAU60" s="6"/>
      <c r="AAV60" s="6"/>
      <c r="AAW60" s="6"/>
      <c r="AAX60" s="6"/>
      <c r="AAY60" s="6"/>
      <c r="AAZ60" s="6"/>
      <c r="ABA60" s="6"/>
      <c r="ABB60" s="6"/>
      <c r="ABC60" s="6"/>
      <c r="ABD60" s="6"/>
      <c r="ABE60" s="6"/>
      <c r="ABF60" s="6"/>
      <c r="ABG60" s="6"/>
      <c r="ABH60" s="6"/>
      <c r="ABI60" s="6"/>
      <c r="ABJ60" s="6"/>
      <c r="ABK60" s="6"/>
      <c r="ABL60" s="6"/>
      <c r="ABM60" s="6"/>
      <c r="ABN60" s="6"/>
      <c r="ABO60" s="6"/>
      <c r="ABP60" s="6"/>
      <c r="ABQ60" s="6"/>
      <c r="ABR60" s="6"/>
      <c r="ABS60" s="6"/>
      <c r="ABT60" s="6"/>
      <c r="ABU60" s="6"/>
      <c r="ABV60" s="6"/>
      <c r="ABW60" s="6"/>
      <c r="ABX60" s="6"/>
      <c r="ABY60" s="6"/>
      <c r="ABZ60" s="6"/>
      <c r="ACA60" s="6"/>
      <c r="ACB60" s="6"/>
      <c r="ACC60" s="6"/>
      <c r="ACD60" s="6"/>
      <c r="ACE60" s="6"/>
      <c r="ACF60" s="6"/>
      <c r="ACG60" s="6"/>
      <c r="ACH60" s="6"/>
      <c r="ACI60" s="6"/>
      <c r="ACJ60" s="6"/>
      <c r="ACK60" s="6"/>
      <c r="ACL60" s="6"/>
      <c r="ACM60" s="6"/>
      <c r="ACN60" s="6"/>
      <c r="ACO60" s="6"/>
      <c r="ACP60" s="6"/>
      <c r="ACQ60" s="6"/>
      <c r="ACR60" s="6"/>
      <c r="ACS60" s="6"/>
      <c r="ACT60" s="6"/>
      <c r="ACU60" s="6"/>
      <c r="ACV60" s="6"/>
      <c r="ACW60" s="6"/>
      <c r="ACX60" s="6"/>
      <c r="ACY60" s="6"/>
      <c r="ACZ60" s="6"/>
      <c r="ADA60" s="6"/>
      <c r="ADB60" s="6"/>
      <c r="ADC60" s="6"/>
      <c r="ADD60" s="6"/>
      <c r="ADE60" s="6"/>
      <c r="ADF60" s="6"/>
      <c r="ADG60" s="6"/>
      <c r="ADH60" s="6"/>
      <c r="ADI60" s="6"/>
      <c r="ADJ60" s="6"/>
      <c r="ADK60" s="6"/>
      <c r="ADL60" s="6"/>
      <c r="ADM60" s="6"/>
      <c r="ADN60" s="6"/>
      <c r="ADO60" s="6"/>
      <c r="ADP60" s="6"/>
      <c r="ADQ60" s="6"/>
      <c r="ADR60" s="6"/>
      <c r="ADS60" s="6"/>
      <c r="ADT60" s="6"/>
      <c r="ADU60" s="6"/>
      <c r="ADV60" s="6"/>
      <c r="ADW60" s="6"/>
      <c r="ADX60" s="6"/>
      <c r="ADY60" s="6"/>
      <c r="ADZ60" s="6"/>
      <c r="AEA60" s="6"/>
      <c r="AEB60" s="6"/>
      <c r="AEC60" s="6"/>
      <c r="AED60" s="6"/>
      <c r="AEE60" s="6"/>
      <c r="AEF60" s="6"/>
      <c r="AEG60" s="6"/>
      <c r="AEH60" s="6"/>
      <c r="AEI60" s="6"/>
      <c r="AEJ60" s="6"/>
      <c r="AEK60" s="6"/>
      <c r="AEL60" s="6"/>
      <c r="AEM60" s="6"/>
      <c r="AEN60" s="6"/>
      <c r="AEO60" s="6"/>
      <c r="AEP60" s="6"/>
      <c r="AEQ60" s="6"/>
      <c r="AER60" s="6"/>
      <c r="AES60" s="6"/>
      <c r="AET60" s="6"/>
      <c r="AEU60" s="6"/>
      <c r="AEV60" s="6"/>
      <c r="AEW60" s="6"/>
      <c r="AEX60" s="6"/>
      <c r="AEY60" s="6"/>
      <c r="AEZ60" s="6"/>
      <c r="AFA60" s="6"/>
      <c r="AFB60" s="6"/>
      <c r="AFC60" s="6"/>
      <c r="AFD60" s="6"/>
      <c r="AFE60" s="6"/>
      <c r="AFF60" s="6"/>
      <c r="AFG60" s="6"/>
      <c r="AFH60" s="6"/>
      <c r="AFI60" s="6"/>
      <c r="AFJ60" s="6"/>
      <c r="AFK60" s="6"/>
      <c r="AFL60" s="6"/>
      <c r="AFM60" s="6"/>
      <c r="AFN60" s="6"/>
      <c r="AFO60" s="6"/>
      <c r="AFP60" s="6"/>
      <c r="AFQ60" s="6"/>
      <c r="AFR60" s="6"/>
      <c r="AFS60" s="6"/>
      <c r="AFT60" s="6"/>
      <c r="AFU60" s="6"/>
      <c r="AFV60" s="6"/>
      <c r="AFW60" s="6"/>
      <c r="AFX60" s="6"/>
      <c r="AFY60" s="6"/>
      <c r="AFZ60" s="6"/>
      <c r="AGA60" s="6"/>
      <c r="AGB60" s="6"/>
      <c r="AGC60" s="6"/>
      <c r="AGD60" s="6"/>
      <c r="AGE60" s="6"/>
      <c r="AGF60" s="6"/>
      <c r="AGG60" s="6"/>
      <c r="AGH60" s="6"/>
      <c r="AGI60" s="6"/>
      <c r="AGJ60" s="6"/>
      <c r="AGK60" s="6"/>
      <c r="AGL60" s="6"/>
      <c r="AGM60" s="6"/>
      <c r="AGN60" s="6"/>
      <c r="AGO60" s="6"/>
      <c r="AGP60" s="6"/>
      <c r="AGQ60" s="6"/>
      <c r="AGR60" s="6"/>
      <c r="AGS60" s="6"/>
      <c r="AGT60" s="6"/>
      <c r="AGU60" s="6"/>
      <c r="AGV60" s="6"/>
      <c r="AGW60" s="6"/>
      <c r="AGX60" s="6"/>
      <c r="AGY60" s="6"/>
      <c r="AGZ60" s="6"/>
      <c r="AHA60" s="6"/>
      <c r="AHB60" s="6"/>
      <c r="AHC60" s="6"/>
      <c r="AHD60" s="6"/>
      <c r="AHE60" s="6"/>
      <c r="AHF60" s="6"/>
      <c r="AHG60" s="6"/>
      <c r="AHH60" s="6"/>
      <c r="AHI60" s="6"/>
      <c r="AHJ60" s="6"/>
      <c r="AHK60" s="6"/>
      <c r="AHL60" s="6"/>
      <c r="AHM60" s="6"/>
      <c r="AHN60" s="6"/>
      <c r="AHO60" s="6"/>
      <c r="AHP60" s="6"/>
      <c r="AHQ60" s="6"/>
      <c r="AHR60" s="6"/>
      <c r="AHS60" s="6"/>
      <c r="AHT60" s="6"/>
      <c r="AHU60" s="6"/>
      <c r="AHV60" s="6"/>
      <c r="AHW60" s="6"/>
      <c r="AHX60" s="6"/>
      <c r="AHY60" s="6"/>
      <c r="AHZ60" s="6"/>
      <c r="AIA60" s="6"/>
      <c r="AIB60" s="6"/>
      <c r="AIC60" s="6"/>
      <c r="AID60" s="6"/>
      <c r="AIE60" s="6"/>
      <c r="AIF60" s="6"/>
      <c r="AIG60" s="6"/>
      <c r="AIH60" s="6"/>
      <c r="AII60" s="6"/>
      <c r="AIJ60" s="6"/>
      <c r="AIK60" s="6"/>
      <c r="AIL60" s="6"/>
      <c r="AIM60" s="6"/>
      <c r="AIN60" s="6"/>
      <c r="AIO60" s="6"/>
      <c r="AIP60" s="6"/>
      <c r="AIQ60" s="6"/>
      <c r="AIR60" s="6"/>
      <c r="AIS60" s="6"/>
      <c r="AIT60" s="6"/>
      <c r="AIU60" s="6"/>
      <c r="AIV60" s="6"/>
      <c r="AIW60" s="6"/>
      <c r="AIX60" s="6"/>
      <c r="AIY60" s="6"/>
      <c r="AIZ60" s="6"/>
      <c r="AJA60" s="6"/>
      <c r="AJB60" s="6"/>
      <c r="AJC60" s="6"/>
      <c r="AJD60" s="6"/>
      <c r="AJE60" s="6"/>
      <c r="AJF60" s="6"/>
      <c r="AJG60" s="6"/>
      <c r="AJH60" s="6"/>
      <c r="AJI60" s="6"/>
      <c r="AJJ60" s="6"/>
      <c r="AJK60" s="6"/>
      <c r="AJL60" s="6"/>
      <c r="AJM60" s="6"/>
      <c r="AJN60" s="6"/>
      <c r="AJO60" s="6"/>
      <c r="AJP60" s="6"/>
      <c r="AJQ60" s="6"/>
      <c r="AJR60" s="6"/>
      <c r="AJS60" s="6"/>
      <c r="AJT60" s="6"/>
      <c r="AJU60" s="6"/>
      <c r="AJV60" s="6"/>
      <c r="AJW60" s="6"/>
      <c r="AJX60" s="6"/>
      <c r="AJY60" s="6"/>
      <c r="AJZ60" s="6"/>
      <c r="AKA60" s="6"/>
      <c r="AKB60" s="6"/>
      <c r="AKC60" s="6"/>
      <c r="AKD60" s="6"/>
      <c r="AKE60" s="6"/>
      <c r="AKF60" s="6"/>
      <c r="AKG60" s="6"/>
      <c r="AKH60" s="6"/>
      <c r="AKI60" s="6"/>
      <c r="AKJ60" s="6"/>
      <c r="AKK60" s="6"/>
      <c r="AKL60" s="6"/>
      <c r="AKM60" s="6"/>
      <c r="AKN60" s="6"/>
      <c r="AKO60" s="6"/>
      <c r="AKP60" s="6"/>
      <c r="AKQ60" s="6"/>
      <c r="AKR60" s="6"/>
      <c r="AKS60" s="6"/>
      <c r="AKT60" s="6"/>
      <c r="AKU60" s="6"/>
      <c r="AKV60" s="6"/>
      <c r="AKW60" s="6"/>
      <c r="AKX60" s="6"/>
      <c r="AKY60" s="6"/>
      <c r="AKZ60" s="6"/>
      <c r="ALA60" s="6"/>
      <c r="ALB60" s="6"/>
      <c r="ALC60" s="6"/>
      <c r="ALD60" s="6"/>
      <c r="ALE60" s="6"/>
      <c r="ALF60" s="6"/>
      <c r="ALG60" s="6"/>
      <c r="ALH60" s="6"/>
      <c r="ALI60" s="6"/>
      <c r="ALJ60" s="6"/>
      <c r="ALK60" s="6"/>
      <c r="ALL60" s="6"/>
      <c r="ALM60" s="6"/>
      <c r="ALN60" s="6"/>
      <c r="ALO60" s="6"/>
      <c r="ALP60" s="6"/>
      <c r="ALQ60" s="6"/>
      <c r="ALR60" s="6"/>
      <c r="ALS60" s="6"/>
      <c r="ALT60" s="6"/>
      <c r="ALU60" s="6"/>
      <c r="ALV60" s="6"/>
    </row>
    <row r="61" spans="1:1010" s="5" customForma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6"/>
      <c r="VC61" s="6"/>
      <c r="VD61" s="6"/>
      <c r="VE61" s="6"/>
      <c r="VF61" s="6"/>
      <c r="VG61" s="6"/>
      <c r="VH61" s="6"/>
      <c r="VI61" s="6"/>
      <c r="VJ61" s="6"/>
      <c r="VK61" s="6"/>
      <c r="VL61" s="6"/>
      <c r="VM61" s="6"/>
      <c r="VN61" s="6"/>
      <c r="VO61" s="6"/>
      <c r="VP61" s="6"/>
      <c r="VQ61" s="6"/>
      <c r="VR61" s="6"/>
      <c r="VS61" s="6"/>
      <c r="VT61" s="6"/>
      <c r="VU61" s="6"/>
      <c r="VV61" s="6"/>
      <c r="VW61" s="6"/>
      <c r="VX61" s="6"/>
      <c r="VY61" s="6"/>
      <c r="VZ61" s="6"/>
      <c r="WA61" s="6"/>
      <c r="WB61" s="6"/>
      <c r="WC61" s="6"/>
      <c r="WD61" s="6"/>
      <c r="WE61" s="6"/>
      <c r="WF61" s="6"/>
      <c r="WG61" s="6"/>
      <c r="WH61" s="6"/>
      <c r="WI61" s="6"/>
      <c r="WJ61" s="6"/>
      <c r="WK61" s="6"/>
      <c r="WL61" s="6"/>
      <c r="WM61" s="6"/>
      <c r="WN61" s="6"/>
      <c r="WO61" s="6"/>
      <c r="WP61" s="6"/>
      <c r="WQ61" s="6"/>
      <c r="WR61" s="6"/>
      <c r="WS61" s="6"/>
      <c r="WT61" s="6"/>
      <c r="WU61" s="6"/>
      <c r="WV61" s="6"/>
      <c r="WW61" s="6"/>
      <c r="WX61" s="6"/>
      <c r="WY61" s="6"/>
      <c r="WZ61" s="6"/>
      <c r="XA61" s="6"/>
      <c r="XB61" s="6"/>
      <c r="XC61" s="6"/>
      <c r="XD61" s="6"/>
      <c r="XE61" s="6"/>
      <c r="XF61" s="6"/>
      <c r="XG61" s="6"/>
      <c r="XH61" s="6"/>
      <c r="XI61" s="6"/>
      <c r="XJ61" s="6"/>
      <c r="XK61" s="6"/>
      <c r="XL61" s="6"/>
      <c r="XM61" s="6"/>
      <c r="XN61" s="6"/>
      <c r="XO61" s="6"/>
      <c r="XP61" s="6"/>
      <c r="XQ61" s="6"/>
      <c r="XR61" s="6"/>
      <c r="XS61" s="6"/>
      <c r="XT61" s="6"/>
      <c r="XU61" s="6"/>
      <c r="XV61" s="6"/>
      <c r="XW61" s="6"/>
      <c r="XX61" s="6"/>
      <c r="XY61" s="6"/>
      <c r="XZ61" s="6"/>
      <c r="YA61" s="6"/>
      <c r="YB61" s="6"/>
      <c r="YC61" s="6"/>
      <c r="YD61" s="6"/>
      <c r="YE61" s="6"/>
      <c r="YF61" s="6"/>
      <c r="YG61" s="6"/>
      <c r="YH61" s="6"/>
      <c r="YI61" s="6"/>
      <c r="YJ61" s="6"/>
      <c r="YK61" s="6"/>
      <c r="YL61" s="6"/>
      <c r="YM61" s="6"/>
      <c r="YN61" s="6"/>
      <c r="YO61" s="6"/>
      <c r="YP61" s="6"/>
      <c r="YQ61" s="6"/>
      <c r="YR61" s="6"/>
      <c r="YS61" s="6"/>
      <c r="YT61" s="6"/>
      <c r="YU61" s="6"/>
      <c r="YV61" s="6"/>
      <c r="YW61" s="6"/>
      <c r="YX61" s="6"/>
      <c r="YY61" s="6"/>
      <c r="YZ61" s="6"/>
      <c r="ZA61" s="6"/>
      <c r="ZB61" s="6"/>
      <c r="ZC61" s="6"/>
      <c r="ZD61" s="6"/>
      <c r="ZE61" s="6"/>
      <c r="ZF61" s="6"/>
      <c r="ZG61" s="6"/>
      <c r="ZH61" s="6"/>
      <c r="ZI61" s="6"/>
      <c r="ZJ61" s="6"/>
      <c r="ZK61" s="6"/>
      <c r="ZL61" s="6"/>
      <c r="ZM61" s="6"/>
      <c r="ZN61" s="6"/>
      <c r="ZO61" s="6"/>
      <c r="ZP61" s="6"/>
      <c r="ZQ61" s="6"/>
      <c r="ZR61" s="6"/>
      <c r="ZS61" s="6"/>
      <c r="ZT61" s="6"/>
      <c r="ZU61" s="6"/>
      <c r="ZV61" s="6"/>
      <c r="ZW61" s="6"/>
      <c r="ZX61" s="6"/>
      <c r="ZY61" s="6"/>
      <c r="ZZ61" s="6"/>
      <c r="AAA61" s="6"/>
      <c r="AAB61" s="6"/>
      <c r="AAC61" s="6"/>
      <c r="AAD61" s="6"/>
      <c r="AAE61" s="6"/>
      <c r="AAF61" s="6"/>
      <c r="AAG61" s="6"/>
      <c r="AAH61" s="6"/>
      <c r="AAI61" s="6"/>
      <c r="AAJ61" s="6"/>
      <c r="AAK61" s="6"/>
      <c r="AAL61" s="6"/>
      <c r="AAM61" s="6"/>
      <c r="AAN61" s="6"/>
      <c r="AAO61" s="6"/>
      <c r="AAP61" s="6"/>
      <c r="AAQ61" s="6"/>
      <c r="AAR61" s="6"/>
      <c r="AAS61" s="6"/>
      <c r="AAT61" s="6"/>
      <c r="AAU61" s="6"/>
      <c r="AAV61" s="6"/>
      <c r="AAW61" s="6"/>
      <c r="AAX61" s="6"/>
      <c r="AAY61" s="6"/>
      <c r="AAZ61" s="6"/>
      <c r="ABA61" s="6"/>
      <c r="ABB61" s="6"/>
      <c r="ABC61" s="6"/>
      <c r="ABD61" s="6"/>
      <c r="ABE61" s="6"/>
      <c r="ABF61" s="6"/>
      <c r="ABG61" s="6"/>
      <c r="ABH61" s="6"/>
      <c r="ABI61" s="6"/>
      <c r="ABJ61" s="6"/>
      <c r="ABK61" s="6"/>
      <c r="ABL61" s="6"/>
      <c r="ABM61" s="6"/>
      <c r="ABN61" s="6"/>
      <c r="ABO61" s="6"/>
      <c r="ABP61" s="6"/>
      <c r="ABQ61" s="6"/>
      <c r="ABR61" s="6"/>
      <c r="ABS61" s="6"/>
      <c r="ABT61" s="6"/>
      <c r="ABU61" s="6"/>
      <c r="ABV61" s="6"/>
      <c r="ABW61" s="6"/>
      <c r="ABX61" s="6"/>
      <c r="ABY61" s="6"/>
      <c r="ABZ61" s="6"/>
      <c r="ACA61" s="6"/>
      <c r="ACB61" s="6"/>
      <c r="ACC61" s="6"/>
      <c r="ACD61" s="6"/>
      <c r="ACE61" s="6"/>
      <c r="ACF61" s="6"/>
      <c r="ACG61" s="6"/>
      <c r="ACH61" s="6"/>
      <c r="ACI61" s="6"/>
      <c r="ACJ61" s="6"/>
      <c r="ACK61" s="6"/>
      <c r="ACL61" s="6"/>
      <c r="ACM61" s="6"/>
      <c r="ACN61" s="6"/>
      <c r="ACO61" s="6"/>
      <c r="ACP61" s="6"/>
      <c r="ACQ61" s="6"/>
      <c r="ACR61" s="6"/>
      <c r="ACS61" s="6"/>
      <c r="ACT61" s="6"/>
      <c r="ACU61" s="6"/>
      <c r="ACV61" s="6"/>
      <c r="ACW61" s="6"/>
      <c r="ACX61" s="6"/>
      <c r="ACY61" s="6"/>
      <c r="ACZ61" s="6"/>
      <c r="ADA61" s="6"/>
      <c r="ADB61" s="6"/>
      <c r="ADC61" s="6"/>
      <c r="ADD61" s="6"/>
      <c r="ADE61" s="6"/>
      <c r="ADF61" s="6"/>
      <c r="ADG61" s="6"/>
      <c r="ADH61" s="6"/>
      <c r="ADI61" s="6"/>
      <c r="ADJ61" s="6"/>
      <c r="ADK61" s="6"/>
      <c r="ADL61" s="6"/>
      <c r="ADM61" s="6"/>
      <c r="ADN61" s="6"/>
      <c r="ADO61" s="6"/>
      <c r="ADP61" s="6"/>
      <c r="ADQ61" s="6"/>
      <c r="ADR61" s="6"/>
      <c r="ADS61" s="6"/>
      <c r="ADT61" s="6"/>
      <c r="ADU61" s="6"/>
      <c r="ADV61" s="6"/>
      <c r="ADW61" s="6"/>
      <c r="ADX61" s="6"/>
      <c r="ADY61" s="6"/>
      <c r="ADZ61" s="6"/>
      <c r="AEA61" s="6"/>
      <c r="AEB61" s="6"/>
      <c r="AEC61" s="6"/>
      <c r="AED61" s="6"/>
      <c r="AEE61" s="6"/>
      <c r="AEF61" s="6"/>
      <c r="AEG61" s="6"/>
      <c r="AEH61" s="6"/>
      <c r="AEI61" s="6"/>
      <c r="AEJ61" s="6"/>
      <c r="AEK61" s="6"/>
      <c r="AEL61" s="6"/>
      <c r="AEM61" s="6"/>
      <c r="AEN61" s="6"/>
      <c r="AEO61" s="6"/>
      <c r="AEP61" s="6"/>
      <c r="AEQ61" s="6"/>
      <c r="AER61" s="6"/>
      <c r="AES61" s="6"/>
      <c r="AET61" s="6"/>
      <c r="AEU61" s="6"/>
      <c r="AEV61" s="6"/>
      <c r="AEW61" s="6"/>
      <c r="AEX61" s="6"/>
      <c r="AEY61" s="6"/>
      <c r="AEZ61" s="6"/>
      <c r="AFA61" s="6"/>
      <c r="AFB61" s="6"/>
      <c r="AFC61" s="6"/>
      <c r="AFD61" s="6"/>
      <c r="AFE61" s="6"/>
      <c r="AFF61" s="6"/>
      <c r="AFG61" s="6"/>
      <c r="AFH61" s="6"/>
      <c r="AFI61" s="6"/>
      <c r="AFJ61" s="6"/>
      <c r="AFK61" s="6"/>
      <c r="AFL61" s="6"/>
      <c r="AFM61" s="6"/>
      <c r="AFN61" s="6"/>
      <c r="AFO61" s="6"/>
      <c r="AFP61" s="6"/>
      <c r="AFQ61" s="6"/>
      <c r="AFR61" s="6"/>
      <c r="AFS61" s="6"/>
      <c r="AFT61" s="6"/>
      <c r="AFU61" s="6"/>
      <c r="AFV61" s="6"/>
      <c r="AFW61" s="6"/>
      <c r="AFX61" s="6"/>
      <c r="AFY61" s="6"/>
      <c r="AFZ61" s="6"/>
      <c r="AGA61" s="6"/>
      <c r="AGB61" s="6"/>
      <c r="AGC61" s="6"/>
      <c r="AGD61" s="6"/>
      <c r="AGE61" s="6"/>
      <c r="AGF61" s="6"/>
      <c r="AGG61" s="6"/>
      <c r="AGH61" s="6"/>
      <c r="AGI61" s="6"/>
      <c r="AGJ61" s="6"/>
      <c r="AGK61" s="6"/>
      <c r="AGL61" s="6"/>
      <c r="AGM61" s="6"/>
      <c r="AGN61" s="6"/>
      <c r="AGO61" s="6"/>
      <c r="AGP61" s="6"/>
      <c r="AGQ61" s="6"/>
      <c r="AGR61" s="6"/>
      <c r="AGS61" s="6"/>
      <c r="AGT61" s="6"/>
      <c r="AGU61" s="6"/>
      <c r="AGV61" s="6"/>
      <c r="AGW61" s="6"/>
      <c r="AGX61" s="6"/>
      <c r="AGY61" s="6"/>
      <c r="AGZ61" s="6"/>
      <c r="AHA61" s="6"/>
      <c r="AHB61" s="6"/>
      <c r="AHC61" s="6"/>
      <c r="AHD61" s="6"/>
      <c r="AHE61" s="6"/>
      <c r="AHF61" s="6"/>
      <c r="AHG61" s="6"/>
      <c r="AHH61" s="6"/>
      <c r="AHI61" s="6"/>
      <c r="AHJ61" s="6"/>
      <c r="AHK61" s="6"/>
      <c r="AHL61" s="6"/>
      <c r="AHM61" s="6"/>
      <c r="AHN61" s="6"/>
      <c r="AHO61" s="6"/>
      <c r="AHP61" s="6"/>
      <c r="AHQ61" s="6"/>
      <c r="AHR61" s="6"/>
      <c r="AHS61" s="6"/>
      <c r="AHT61" s="6"/>
      <c r="AHU61" s="6"/>
      <c r="AHV61" s="6"/>
      <c r="AHW61" s="6"/>
      <c r="AHX61" s="6"/>
      <c r="AHY61" s="6"/>
      <c r="AHZ61" s="6"/>
      <c r="AIA61" s="6"/>
      <c r="AIB61" s="6"/>
      <c r="AIC61" s="6"/>
      <c r="AID61" s="6"/>
      <c r="AIE61" s="6"/>
      <c r="AIF61" s="6"/>
      <c r="AIG61" s="6"/>
      <c r="AIH61" s="6"/>
      <c r="AII61" s="6"/>
      <c r="AIJ61" s="6"/>
      <c r="AIK61" s="6"/>
      <c r="AIL61" s="6"/>
      <c r="AIM61" s="6"/>
      <c r="AIN61" s="6"/>
      <c r="AIO61" s="6"/>
      <c r="AIP61" s="6"/>
      <c r="AIQ61" s="6"/>
      <c r="AIR61" s="6"/>
      <c r="AIS61" s="6"/>
      <c r="AIT61" s="6"/>
      <c r="AIU61" s="6"/>
      <c r="AIV61" s="6"/>
      <c r="AIW61" s="6"/>
      <c r="AIX61" s="6"/>
      <c r="AIY61" s="6"/>
      <c r="AIZ61" s="6"/>
      <c r="AJA61" s="6"/>
      <c r="AJB61" s="6"/>
      <c r="AJC61" s="6"/>
      <c r="AJD61" s="6"/>
      <c r="AJE61" s="6"/>
      <c r="AJF61" s="6"/>
      <c r="AJG61" s="6"/>
      <c r="AJH61" s="6"/>
      <c r="AJI61" s="6"/>
      <c r="AJJ61" s="6"/>
      <c r="AJK61" s="6"/>
      <c r="AJL61" s="6"/>
      <c r="AJM61" s="6"/>
      <c r="AJN61" s="6"/>
      <c r="AJO61" s="6"/>
      <c r="AJP61" s="6"/>
      <c r="AJQ61" s="6"/>
      <c r="AJR61" s="6"/>
      <c r="AJS61" s="6"/>
      <c r="AJT61" s="6"/>
      <c r="AJU61" s="6"/>
      <c r="AJV61" s="6"/>
      <c r="AJW61" s="6"/>
      <c r="AJX61" s="6"/>
      <c r="AJY61" s="6"/>
      <c r="AJZ61" s="6"/>
      <c r="AKA61" s="6"/>
      <c r="AKB61" s="6"/>
      <c r="AKC61" s="6"/>
      <c r="AKD61" s="6"/>
      <c r="AKE61" s="6"/>
      <c r="AKF61" s="6"/>
      <c r="AKG61" s="6"/>
      <c r="AKH61" s="6"/>
      <c r="AKI61" s="6"/>
      <c r="AKJ61" s="6"/>
      <c r="AKK61" s="6"/>
      <c r="AKL61" s="6"/>
      <c r="AKM61" s="6"/>
      <c r="AKN61" s="6"/>
      <c r="AKO61" s="6"/>
      <c r="AKP61" s="6"/>
      <c r="AKQ61" s="6"/>
      <c r="AKR61" s="6"/>
      <c r="AKS61" s="6"/>
      <c r="AKT61" s="6"/>
      <c r="AKU61" s="6"/>
      <c r="AKV61" s="6"/>
      <c r="AKW61" s="6"/>
      <c r="AKX61" s="6"/>
      <c r="AKY61" s="6"/>
      <c r="AKZ61" s="6"/>
      <c r="ALA61" s="6"/>
      <c r="ALB61" s="6"/>
      <c r="ALC61" s="6"/>
      <c r="ALD61" s="6"/>
      <c r="ALE61" s="6"/>
      <c r="ALF61" s="6"/>
      <c r="ALG61" s="6"/>
      <c r="ALH61" s="6"/>
      <c r="ALI61" s="6"/>
      <c r="ALJ61" s="6"/>
      <c r="ALK61" s="6"/>
      <c r="ALL61" s="6"/>
      <c r="ALM61" s="6"/>
      <c r="ALN61" s="6"/>
      <c r="ALO61" s="6"/>
      <c r="ALP61" s="6"/>
      <c r="ALQ61" s="6"/>
      <c r="ALR61" s="6"/>
      <c r="ALS61" s="6"/>
      <c r="ALT61" s="6"/>
      <c r="ALU61" s="6"/>
      <c r="ALV61" s="6"/>
    </row>
    <row r="62" spans="1:1010" s="5" customForma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</row>
    <row r="63" spans="1:1010" s="5" customForma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  <c r="ACV63" s="6"/>
      <c r="ACW63" s="6"/>
      <c r="ACX63" s="6"/>
      <c r="ACY63" s="6"/>
      <c r="ACZ63" s="6"/>
      <c r="ADA63" s="6"/>
      <c r="ADB63" s="6"/>
      <c r="ADC63" s="6"/>
      <c r="ADD63" s="6"/>
      <c r="ADE63" s="6"/>
      <c r="ADF63" s="6"/>
      <c r="ADG63" s="6"/>
      <c r="ADH63" s="6"/>
      <c r="ADI63" s="6"/>
      <c r="ADJ63" s="6"/>
      <c r="ADK63" s="6"/>
      <c r="ADL63" s="6"/>
      <c r="ADM63" s="6"/>
      <c r="ADN63" s="6"/>
      <c r="ADO63" s="6"/>
      <c r="ADP63" s="6"/>
      <c r="ADQ63" s="6"/>
      <c r="ADR63" s="6"/>
      <c r="ADS63" s="6"/>
      <c r="ADT63" s="6"/>
      <c r="ADU63" s="6"/>
      <c r="ADV63" s="6"/>
      <c r="ADW63" s="6"/>
      <c r="ADX63" s="6"/>
      <c r="ADY63" s="6"/>
      <c r="ADZ63" s="6"/>
      <c r="AEA63" s="6"/>
      <c r="AEB63" s="6"/>
      <c r="AEC63" s="6"/>
      <c r="AED63" s="6"/>
      <c r="AEE63" s="6"/>
      <c r="AEF63" s="6"/>
      <c r="AEG63" s="6"/>
      <c r="AEH63" s="6"/>
      <c r="AEI63" s="6"/>
      <c r="AEJ63" s="6"/>
      <c r="AEK63" s="6"/>
      <c r="AEL63" s="6"/>
      <c r="AEM63" s="6"/>
      <c r="AEN63" s="6"/>
      <c r="AEO63" s="6"/>
      <c r="AEP63" s="6"/>
      <c r="AEQ63" s="6"/>
      <c r="AER63" s="6"/>
      <c r="AES63" s="6"/>
      <c r="AET63" s="6"/>
      <c r="AEU63" s="6"/>
      <c r="AEV63" s="6"/>
      <c r="AEW63" s="6"/>
      <c r="AEX63" s="6"/>
      <c r="AEY63" s="6"/>
      <c r="AEZ63" s="6"/>
      <c r="AFA63" s="6"/>
      <c r="AFB63" s="6"/>
      <c r="AFC63" s="6"/>
      <c r="AFD63" s="6"/>
      <c r="AFE63" s="6"/>
      <c r="AFF63" s="6"/>
      <c r="AFG63" s="6"/>
      <c r="AFH63" s="6"/>
      <c r="AFI63" s="6"/>
      <c r="AFJ63" s="6"/>
      <c r="AFK63" s="6"/>
      <c r="AFL63" s="6"/>
      <c r="AFM63" s="6"/>
      <c r="AFN63" s="6"/>
      <c r="AFO63" s="6"/>
      <c r="AFP63" s="6"/>
      <c r="AFQ63" s="6"/>
      <c r="AFR63" s="6"/>
      <c r="AFS63" s="6"/>
      <c r="AFT63" s="6"/>
      <c r="AFU63" s="6"/>
      <c r="AFV63" s="6"/>
      <c r="AFW63" s="6"/>
      <c r="AFX63" s="6"/>
      <c r="AFY63" s="6"/>
      <c r="AFZ63" s="6"/>
      <c r="AGA63" s="6"/>
      <c r="AGB63" s="6"/>
      <c r="AGC63" s="6"/>
      <c r="AGD63" s="6"/>
      <c r="AGE63" s="6"/>
      <c r="AGF63" s="6"/>
      <c r="AGG63" s="6"/>
      <c r="AGH63" s="6"/>
      <c r="AGI63" s="6"/>
      <c r="AGJ63" s="6"/>
      <c r="AGK63" s="6"/>
      <c r="AGL63" s="6"/>
      <c r="AGM63" s="6"/>
      <c r="AGN63" s="6"/>
      <c r="AGO63" s="6"/>
      <c r="AGP63" s="6"/>
      <c r="AGQ63" s="6"/>
      <c r="AGR63" s="6"/>
      <c r="AGS63" s="6"/>
      <c r="AGT63" s="6"/>
      <c r="AGU63" s="6"/>
      <c r="AGV63" s="6"/>
      <c r="AGW63" s="6"/>
      <c r="AGX63" s="6"/>
      <c r="AGY63" s="6"/>
      <c r="AGZ63" s="6"/>
      <c r="AHA63" s="6"/>
      <c r="AHB63" s="6"/>
      <c r="AHC63" s="6"/>
      <c r="AHD63" s="6"/>
      <c r="AHE63" s="6"/>
      <c r="AHF63" s="6"/>
      <c r="AHG63" s="6"/>
      <c r="AHH63" s="6"/>
      <c r="AHI63" s="6"/>
      <c r="AHJ63" s="6"/>
      <c r="AHK63" s="6"/>
      <c r="AHL63" s="6"/>
      <c r="AHM63" s="6"/>
      <c r="AHN63" s="6"/>
      <c r="AHO63" s="6"/>
      <c r="AHP63" s="6"/>
      <c r="AHQ63" s="6"/>
      <c r="AHR63" s="6"/>
      <c r="AHS63" s="6"/>
      <c r="AHT63" s="6"/>
      <c r="AHU63" s="6"/>
      <c r="AHV63" s="6"/>
      <c r="AHW63" s="6"/>
      <c r="AHX63" s="6"/>
      <c r="AHY63" s="6"/>
      <c r="AHZ63" s="6"/>
      <c r="AIA63" s="6"/>
      <c r="AIB63" s="6"/>
      <c r="AIC63" s="6"/>
      <c r="AID63" s="6"/>
      <c r="AIE63" s="6"/>
      <c r="AIF63" s="6"/>
      <c r="AIG63" s="6"/>
      <c r="AIH63" s="6"/>
      <c r="AII63" s="6"/>
      <c r="AIJ63" s="6"/>
      <c r="AIK63" s="6"/>
      <c r="AIL63" s="6"/>
      <c r="AIM63" s="6"/>
      <c r="AIN63" s="6"/>
      <c r="AIO63" s="6"/>
      <c r="AIP63" s="6"/>
      <c r="AIQ63" s="6"/>
      <c r="AIR63" s="6"/>
      <c r="AIS63" s="6"/>
      <c r="AIT63" s="6"/>
      <c r="AIU63" s="6"/>
      <c r="AIV63" s="6"/>
      <c r="AIW63" s="6"/>
      <c r="AIX63" s="6"/>
      <c r="AIY63" s="6"/>
      <c r="AIZ63" s="6"/>
      <c r="AJA63" s="6"/>
      <c r="AJB63" s="6"/>
      <c r="AJC63" s="6"/>
      <c r="AJD63" s="6"/>
      <c r="AJE63" s="6"/>
      <c r="AJF63" s="6"/>
      <c r="AJG63" s="6"/>
      <c r="AJH63" s="6"/>
      <c r="AJI63" s="6"/>
      <c r="AJJ63" s="6"/>
      <c r="AJK63" s="6"/>
      <c r="AJL63" s="6"/>
      <c r="AJM63" s="6"/>
      <c r="AJN63" s="6"/>
      <c r="AJO63" s="6"/>
      <c r="AJP63" s="6"/>
      <c r="AJQ63" s="6"/>
      <c r="AJR63" s="6"/>
      <c r="AJS63" s="6"/>
      <c r="AJT63" s="6"/>
      <c r="AJU63" s="6"/>
      <c r="AJV63" s="6"/>
      <c r="AJW63" s="6"/>
      <c r="AJX63" s="6"/>
      <c r="AJY63" s="6"/>
      <c r="AJZ63" s="6"/>
      <c r="AKA63" s="6"/>
      <c r="AKB63" s="6"/>
      <c r="AKC63" s="6"/>
      <c r="AKD63" s="6"/>
      <c r="AKE63" s="6"/>
      <c r="AKF63" s="6"/>
      <c r="AKG63" s="6"/>
      <c r="AKH63" s="6"/>
      <c r="AKI63" s="6"/>
      <c r="AKJ63" s="6"/>
      <c r="AKK63" s="6"/>
      <c r="AKL63" s="6"/>
      <c r="AKM63" s="6"/>
      <c r="AKN63" s="6"/>
      <c r="AKO63" s="6"/>
      <c r="AKP63" s="6"/>
      <c r="AKQ63" s="6"/>
      <c r="AKR63" s="6"/>
      <c r="AKS63" s="6"/>
      <c r="AKT63" s="6"/>
      <c r="AKU63" s="6"/>
      <c r="AKV63" s="6"/>
      <c r="AKW63" s="6"/>
      <c r="AKX63" s="6"/>
      <c r="AKY63" s="6"/>
      <c r="AKZ63" s="6"/>
      <c r="ALA63" s="6"/>
      <c r="ALB63" s="6"/>
      <c r="ALC63" s="6"/>
      <c r="ALD63" s="6"/>
      <c r="ALE63" s="6"/>
      <c r="ALF63" s="6"/>
      <c r="ALG63" s="6"/>
      <c r="ALH63" s="6"/>
      <c r="ALI63" s="6"/>
      <c r="ALJ63" s="6"/>
      <c r="ALK63" s="6"/>
      <c r="ALL63" s="6"/>
      <c r="ALM63" s="6"/>
      <c r="ALN63" s="6"/>
      <c r="ALO63" s="6"/>
      <c r="ALP63" s="6"/>
      <c r="ALQ63" s="6"/>
      <c r="ALR63" s="6"/>
      <c r="ALS63" s="6"/>
      <c r="ALT63" s="6"/>
      <c r="ALU63" s="6"/>
      <c r="ALV63" s="6"/>
    </row>
    <row r="64" spans="1:1010" s="5" customForma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  <c r="ABM64" s="6"/>
      <c r="ABN64" s="6"/>
      <c r="ABO64" s="6"/>
      <c r="ABP64" s="6"/>
      <c r="ABQ64" s="6"/>
      <c r="ABR64" s="6"/>
      <c r="ABS64" s="6"/>
      <c r="ABT64" s="6"/>
      <c r="ABU64" s="6"/>
      <c r="ABV64" s="6"/>
      <c r="ABW64" s="6"/>
      <c r="ABX64" s="6"/>
      <c r="ABY64" s="6"/>
      <c r="ABZ64" s="6"/>
      <c r="ACA64" s="6"/>
      <c r="ACB64" s="6"/>
      <c r="ACC64" s="6"/>
      <c r="ACD64" s="6"/>
      <c r="ACE64" s="6"/>
      <c r="ACF64" s="6"/>
      <c r="ACG64" s="6"/>
      <c r="ACH64" s="6"/>
      <c r="ACI64" s="6"/>
      <c r="ACJ64" s="6"/>
      <c r="ACK64" s="6"/>
      <c r="ACL64" s="6"/>
      <c r="ACM64" s="6"/>
      <c r="ACN64" s="6"/>
      <c r="ACO64" s="6"/>
      <c r="ACP64" s="6"/>
      <c r="ACQ64" s="6"/>
      <c r="ACR64" s="6"/>
      <c r="ACS64" s="6"/>
      <c r="ACT64" s="6"/>
      <c r="ACU64" s="6"/>
      <c r="ACV64" s="6"/>
      <c r="ACW64" s="6"/>
      <c r="ACX64" s="6"/>
      <c r="ACY64" s="6"/>
      <c r="ACZ64" s="6"/>
      <c r="ADA64" s="6"/>
      <c r="ADB64" s="6"/>
      <c r="ADC64" s="6"/>
      <c r="ADD64" s="6"/>
      <c r="ADE64" s="6"/>
      <c r="ADF64" s="6"/>
      <c r="ADG64" s="6"/>
      <c r="ADH64" s="6"/>
      <c r="ADI64" s="6"/>
      <c r="ADJ64" s="6"/>
      <c r="ADK64" s="6"/>
      <c r="ADL64" s="6"/>
      <c r="ADM64" s="6"/>
      <c r="ADN64" s="6"/>
      <c r="ADO64" s="6"/>
      <c r="ADP64" s="6"/>
      <c r="ADQ64" s="6"/>
      <c r="ADR64" s="6"/>
      <c r="ADS64" s="6"/>
      <c r="ADT64" s="6"/>
      <c r="ADU64" s="6"/>
      <c r="ADV64" s="6"/>
      <c r="ADW64" s="6"/>
      <c r="ADX64" s="6"/>
      <c r="ADY64" s="6"/>
      <c r="ADZ64" s="6"/>
      <c r="AEA64" s="6"/>
      <c r="AEB64" s="6"/>
      <c r="AEC64" s="6"/>
      <c r="AED64" s="6"/>
      <c r="AEE64" s="6"/>
      <c r="AEF64" s="6"/>
      <c r="AEG64" s="6"/>
      <c r="AEH64" s="6"/>
      <c r="AEI64" s="6"/>
      <c r="AEJ64" s="6"/>
      <c r="AEK64" s="6"/>
      <c r="AEL64" s="6"/>
      <c r="AEM64" s="6"/>
      <c r="AEN64" s="6"/>
      <c r="AEO64" s="6"/>
      <c r="AEP64" s="6"/>
      <c r="AEQ64" s="6"/>
      <c r="AER64" s="6"/>
      <c r="AES64" s="6"/>
      <c r="AET64" s="6"/>
      <c r="AEU64" s="6"/>
      <c r="AEV64" s="6"/>
      <c r="AEW64" s="6"/>
      <c r="AEX64" s="6"/>
      <c r="AEY64" s="6"/>
      <c r="AEZ64" s="6"/>
      <c r="AFA64" s="6"/>
      <c r="AFB64" s="6"/>
      <c r="AFC64" s="6"/>
      <c r="AFD64" s="6"/>
      <c r="AFE64" s="6"/>
      <c r="AFF64" s="6"/>
      <c r="AFG64" s="6"/>
      <c r="AFH64" s="6"/>
      <c r="AFI64" s="6"/>
      <c r="AFJ64" s="6"/>
      <c r="AFK64" s="6"/>
      <c r="AFL64" s="6"/>
      <c r="AFM64" s="6"/>
      <c r="AFN64" s="6"/>
      <c r="AFO64" s="6"/>
      <c r="AFP64" s="6"/>
      <c r="AFQ64" s="6"/>
      <c r="AFR64" s="6"/>
      <c r="AFS64" s="6"/>
      <c r="AFT64" s="6"/>
      <c r="AFU64" s="6"/>
      <c r="AFV64" s="6"/>
      <c r="AFW64" s="6"/>
      <c r="AFX64" s="6"/>
      <c r="AFY64" s="6"/>
      <c r="AFZ64" s="6"/>
      <c r="AGA64" s="6"/>
      <c r="AGB64" s="6"/>
      <c r="AGC64" s="6"/>
      <c r="AGD64" s="6"/>
      <c r="AGE64" s="6"/>
      <c r="AGF64" s="6"/>
      <c r="AGG64" s="6"/>
      <c r="AGH64" s="6"/>
      <c r="AGI64" s="6"/>
      <c r="AGJ64" s="6"/>
      <c r="AGK64" s="6"/>
      <c r="AGL64" s="6"/>
      <c r="AGM64" s="6"/>
      <c r="AGN64" s="6"/>
      <c r="AGO64" s="6"/>
      <c r="AGP64" s="6"/>
      <c r="AGQ64" s="6"/>
      <c r="AGR64" s="6"/>
      <c r="AGS64" s="6"/>
      <c r="AGT64" s="6"/>
      <c r="AGU64" s="6"/>
      <c r="AGV64" s="6"/>
      <c r="AGW64" s="6"/>
      <c r="AGX64" s="6"/>
      <c r="AGY64" s="6"/>
      <c r="AGZ64" s="6"/>
      <c r="AHA64" s="6"/>
      <c r="AHB64" s="6"/>
      <c r="AHC64" s="6"/>
      <c r="AHD64" s="6"/>
      <c r="AHE64" s="6"/>
      <c r="AHF64" s="6"/>
      <c r="AHG64" s="6"/>
      <c r="AHH64" s="6"/>
      <c r="AHI64" s="6"/>
      <c r="AHJ64" s="6"/>
      <c r="AHK64" s="6"/>
      <c r="AHL64" s="6"/>
      <c r="AHM64" s="6"/>
      <c r="AHN64" s="6"/>
      <c r="AHO64" s="6"/>
      <c r="AHP64" s="6"/>
      <c r="AHQ64" s="6"/>
      <c r="AHR64" s="6"/>
      <c r="AHS64" s="6"/>
      <c r="AHT64" s="6"/>
      <c r="AHU64" s="6"/>
      <c r="AHV64" s="6"/>
      <c r="AHW64" s="6"/>
      <c r="AHX64" s="6"/>
      <c r="AHY64" s="6"/>
      <c r="AHZ64" s="6"/>
      <c r="AIA64" s="6"/>
      <c r="AIB64" s="6"/>
      <c r="AIC64" s="6"/>
      <c r="AID64" s="6"/>
      <c r="AIE64" s="6"/>
      <c r="AIF64" s="6"/>
      <c r="AIG64" s="6"/>
      <c r="AIH64" s="6"/>
      <c r="AII64" s="6"/>
      <c r="AIJ64" s="6"/>
      <c r="AIK64" s="6"/>
      <c r="AIL64" s="6"/>
      <c r="AIM64" s="6"/>
      <c r="AIN64" s="6"/>
      <c r="AIO64" s="6"/>
      <c r="AIP64" s="6"/>
      <c r="AIQ64" s="6"/>
      <c r="AIR64" s="6"/>
      <c r="AIS64" s="6"/>
      <c r="AIT64" s="6"/>
      <c r="AIU64" s="6"/>
      <c r="AIV64" s="6"/>
      <c r="AIW64" s="6"/>
      <c r="AIX64" s="6"/>
      <c r="AIY64" s="6"/>
      <c r="AIZ64" s="6"/>
      <c r="AJA64" s="6"/>
      <c r="AJB64" s="6"/>
      <c r="AJC64" s="6"/>
      <c r="AJD64" s="6"/>
      <c r="AJE64" s="6"/>
      <c r="AJF64" s="6"/>
      <c r="AJG64" s="6"/>
      <c r="AJH64" s="6"/>
      <c r="AJI64" s="6"/>
      <c r="AJJ64" s="6"/>
      <c r="AJK64" s="6"/>
      <c r="AJL64" s="6"/>
      <c r="AJM64" s="6"/>
      <c r="AJN64" s="6"/>
      <c r="AJO64" s="6"/>
      <c r="AJP64" s="6"/>
      <c r="AJQ64" s="6"/>
      <c r="AJR64" s="6"/>
      <c r="AJS64" s="6"/>
      <c r="AJT64" s="6"/>
      <c r="AJU64" s="6"/>
      <c r="AJV64" s="6"/>
      <c r="AJW64" s="6"/>
      <c r="AJX64" s="6"/>
      <c r="AJY64" s="6"/>
      <c r="AJZ64" s="6"/>
      <c r="AKA64" s="6"/>
      <c r="AKB64" s="6"/>
      <c r="AKC64" s="6"/>
      <c r="AKD64" s="6"/>
      <c r="AKE64" s="6"/>
      <c r="AKF64" s="6"/>
      <c r="AKG64" s="6"/>
      <c r="AKH64" s="6"/>
      <c r="AKI64" s="6"/>
      <c r="AKJ64" s="6"/>
      <c r="AKK64" s="6"/>
      <c r="AKL64" s="6"/>
      <c r="AKM64" s="6"/>
      <c r="AKN64" s="6"/>
      <c r="AKO64" s="6"/>
      <c r="AKP64" s="6"/>
      <c r="AKQ64" s="6"/>
      <c r="AKR64" s="6"/>
      <c r="AKS64" s="6"/>
      <c r="AKT64" s="6"/>
      <c r="AKU64" s="6"/>
      <c r="AKV64" s="6"/>
      <c r="AKW64" s="6"/>
      <c r="AKX64" s="6"/>
      <c r="AKY64" s="6"/>
      <c r="AKZ64" s="6"/>
      <c r="ALA64" s="6"/>
      <c r="ALB64" s="6"/>
      <c r="ALC64" s="6"/>
      <c r="ALD64" s="6"/>
      <c r="ALE64" s="6"/>
      <c r="ALF64" s="6"/>
      <c r="ALG64" s="6"/>
      <c r="ALH64" s="6"/>
      <c r="ALI64" s="6"/>
      <c r="ALJ64" s="6"/>
      <c r="ALK64" s="6"/>
      <c r="ALL64" s="6"/>
      <c r="ALM64" s="6"/>
      <c r="ALN64" s="6"/>
      <c r="ALO64" s="6"/>
      <c r="ALP64" s="6"/>
      <c r="ALQ64" s="6"/>
      <c r="ALR64" s="6"/>
      <c r="ALS64" s="6"/>
      <c r="ALT64" s="6"/>
      <c r="ALU64" s="6"/>
      <c r="ALV64" s="6"/>
    </row>
    <row r="65" spans="3:1025" x14ac:dyDescent="0.25"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</row>
    <row r="66" spans="3:1025" x14ac:dyDescent="0.25"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</row>
    <row r="67" spans="3:1025" x14ac:dyDescent="0.25"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</row>
    <row r="68" spans="3:1025" x14ac:dyDescent="0.25"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</row>
    <row r="69" spans="3:1025" x14ac:dyDescent="0.25">
      <c r="C69" s="5"/>
    </row>
    <row r="70" spans="3:1025" ht="15" customHeight="1" x14ac:dyDescent="0.3">
      <c r="C70" s="44"/>
    </row>
  </sheetData>
  <sortState xmlns:xlrd2="http://schemas.microsoft.com/office/spreadsheetml/2017/richdata2" ref="C10:E18">
    <sortCondition descending="1" ref="D10:D18"/>
  </sortState>
  <pageMargins left="0.75" right="0.75" top="1" bottom="1" header="0.51180555555555496" footer="0.51180555555555496"/>
  <pageSetup paperSize="9" firstPageNumber="0" orientation="portrait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J112"/>
  <sheetViews>
    <sheetView showGridLines="0" topLeftCell="A37" zoomScaleNormal="100" workbookViewId="0">
      <selection activeCell="F10" sqref="F10"/>
    </sheetView>
  </sheetViews>
  <sheetFormatPr defaultColWidth="9.09765625" defaultRowHeight="12.5" x14ac:dyDescent="0.25"/>
  <cols>
    <col min="1" max="1" width="9.09765625" style="6"/>
    <col min="2" max="2" width="15.8984375" style="6" customWidth="1"/>
    <col min="3" max="1024" width="9.09765625" style="6"/>
    <col min="1025" max="16384" width="9.09765625" style="5"/>
  </cols>
  <sheetData>
    <row r="1" spans="1:1023" x14ac:dyDescent="0.25">
      <c r="B1" s="45"/>
      <c r="C1" s="45"/>
      <c r="D1" s="45"/>
      <c r="E1" s="45"/>
      <c r="F1" s="45"/>
      <c r="G1" s="45"/>
      <c r="H1" s="4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spans="1:1023" ht="13" x14ac:dyDescent="0.25">
      <c r="A2" s="5"/>
      <c r="B2" s="1" t="s">
        <v>0</v>
      </c>
      <c r="C2" s="45"/>
      <c r="D2" s="45"/>
      <c r="E2" s="45"/>
      <c r="F2" s="45"/>
      <c r="G2" s="45"/>
      <c r="H2" s="4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spans="1:1023" ht="13" x14ac:dyDescent="0.25">
      <c r="A3" s="5"/>
      <c r="B3" s="1" t="s">
        <v>1</v>
      </c>
      <c r="C3" s="5"/>
      <c r="D3" s="5"/>
      <c r="E3" s="3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</row>
    <row r="5" spans="1:1023" s="177" customFormat="1" ht="13" x14ac:dyDescent="0.25">
      <c r="B5" s="177" t="s">
        <v>166</v>
      </c>
      <c r="E5" s="46"/>
    </row>
    <row r="6" spans="1:1023" ht="13" x14ac:dyDescent="0.25">
      <c r="A6" s="5"/>
      <c r="B6" s="175" t="s">
        <v>68</v>
      </c>
      <c r="C6" s="175"/>
      <c r="D6" s="47"/>
      <c r="E6" s="175"/>
      <c r="F6" s="175"/>
      <c r="G6" s="177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</row>
    <row r="7" spans="1:1023" ht="13" x14ac:dyDescent="0.25">
      <c r="A7" s="5"/>
      <c r="B7" s="5"/>
      <c r="C7" s="48"/>
      <c r="D7" s="49"/>
      <c r="E7" s="5"/>
      <c r="F7" s="5"/>
      <c r="G7" s="177"/>
      <c r="H7" s="5"/>
      <c r="I7" s="5"/>
      <c r="J7" s="5"/>
      <c r="K7" s="5"/>
      <c r="L7" s="5"/>
    </row>
    <row r="8" spans="1:1023" x14ac:dyDescent="0.25">
      <c r="A8" s="5"/>
      <c r="B8" s="5"/>
      <c r="C8" s="5"/>
      <c r="D8" s="5"/>
      <c r="E8" s="5"/>
      <c r="F8" s="5"/>
      <c r="G8" s="175"/>
      <c r="H8" s="5"/>
      <c r="I8" s="5"/>
      <c r="J8" s="5"/>
      <c r="K8" s="5"/>
      <c r="L8" s="5"/>
    </row>
    <row r="9" spans="1:1023" ht="62.5" x14ac:dyDescent="0.25">
      <c r="A9" s="5"/>
      <c r="B9" s="50"/>
      <c r="C9" s="28" t="s">
        <v>46</v>
      </c>
      <c r="D9" s="51" t="s">
        <v>47</v>
      </c>
      <c r="E9" s="52" t="s">
        <v>48</v>
      </c>
      <c r="F9" s="53"/>
      <c r="G9" s="5"/>
      <c r="H9" s="5"/>
      <c r="I9" s="5"/>
      <c r="J9" s="5"/>
      <c r="K9" s="5"/>
      <c r="L9" s="5"/>
    </row>
    <row r="10" spans="1:1023" ht="13" x14ac:dyDescent="0.25">
      <c r="A10" s="39"/>
      <c r="B10" s="54" t="s">
        <v>118</v>
      </c>
      <c r="C10" s="55">
        <v>1777</v>
      </c>
      <c r="D10" s="55">
        <v>3214</v>
      </c>
      <c r="E10" s="55">
        <v>4991</v>
      </c>
      <c r="F10" s="56"/>
      <c r="G10" s="5"/>
      <c r="H10" s="5"/>
      <c r="I10" s="5"/>
      <c r="J10" s="5"/>
      <c r="K10" s="57"/>
      <c r="L10" s="57"/>
    </row>
    <row r="11" spans="1:1023" x14ac:dyDescent="0.25">
      <c r="B11" s="13"/>
      <c r="C11" s="58"/>
      <c r="D11" s="58"/>
      <c r="E11" s="59"/>
      <c r="F11" s="39"/>
      <c r="G11" s="5"/>
      <c r="H11" s="5"/>
      <c r="I11" s="5"/>
      <c r="J11" s="5"/>
      <c r="K11" s="57"/>
      <c r="L11" s="57"/>
    </row>
    <row r="12" spans="1:1023" x14ac:dyDescent="0.25">
      <c r="A12" s="60" t="s">
        <v>104</v>
      </c>
      <c r="B12" s="13" t="s">
        <v>30</v>
      </c>
      <c r="C12" s="58">
        <v>1802</v>
      </c>
      <c r="D12" s="58">
        <v>18148</v>
      </c>
      <c r="E12" s="58">
        <v>19950</v>
      </c>
      <c r="F12" s="39"/>
      <c r="G12" s="5"/>
      <c r="H12" s="5"/>
      <c r="I12" s="5"/>
      <c r="J12" s="61"/>
      <c r="K12" s="57"/>
      <c r="L12" s="57"/>
    </row>
    <row r="13" spans="1:1023" x14ac:dyDescent="0.25">
      <c r="A13" s="62" t="s">
        <v>84</v>
      </c>
      <c r="B13" s="13" t="s">
        <v>13</v>
      </c>
      <c r="C13" s="58">
        <v>7491</v>
      </c>
      <c r="D13" s="58">
        <v>9261</v>
      </c>
      <c r="E13" s="58">
        <v>16752</v>
      </c>
      <c r="F13" s="39"/>
      <c r="G13" s="5"/>
      <c r="H13" s="5"/>
      <c r="I13" s="5"/>
      <c r="J13" s="61"/>
      <c r="K13" s="57"/>
      <c r="L13" s="57"/>
    </row>
    <row r="14" spans="1:1023" x14ac:dyDescent="0.25">
      <c r="A14" s="60" t="s">
        <v>105</v>
      </c>
      <c r="B14" s="13" t="s">
        <v>31</v>
      </c>
      <c r="C14" s="58">
        <v>2156</v>
      </c>
      <c r="D14" s="58">
        <v>13471</v>
      </c>
      <c r="E14" s="58">
        <v>15627</v>
      </c>
      <c r="F14" s="39"/>
      <c r="G14" s="5"/>
      <c r="H14" s="5"/>
      <c r="I14" s="5"/>
      <c r="J14" s="61"/>
      <c r="K14" s="57"/>
      <c r="L14" s="57"/>
    </row>
    <row r="15" spans="1:1023" x14ac:dyDescent="0.25">
      <c r="A15" s="63" t="s">
        <v>94</v>
      </c>
      <c r="B15" s="13" t="s">
        <v>20</v>
      </c>
      <c r="C15" s="58">
        <v>2655</v>
      </c>
      <c r="D15" s="58">
        <v>12514</v>
      </c>
      <c r="E15" s="58">
        <v>15169</v>
      </c>
      <c r="F15" s="39"/>
      <c r="G15" s="5"/>
      <c r="H15" s="5"/>
      <c r="I15" s="5"/>
      <c r="J15" s="61"/>
      <c r="K15" s="57"/>
      <c r="L15" s="57"/>
    </row>
    <row r="16" spans="1:1023" x14ac:dyDescent="0.25">
      <c r="A16" s="64" t="s">
        <v>80</v>
      </c>
      <c r="B16" s="13" t="s">
        <v>9</v>
      </c>
      <c r="C16" s="58">
        <v>3761</v>
      </c>
      <c r="D16" s="58">
        <v>10842</v>
      </c>
      <c r="E16" s="58">
        <v>14603</v>
      </c>
      <c r="F16" s="39"/>
      <c r="G16" s="5"/>
      <c r="H16" s="5"/>
      <c r="I16" s="5"/>
      <c r="J16" s="61"/>
      <c r="K16" s="57"/>
      <c r="L16" s="57"/>
    </row>
    <row r="17" spans="1:12" x14ac:dyDescent="0.25">
      <c r="A17" s="64" t="s">
        <v>101</v>
      </c>
      <c r="B17" s="13" t="s">
        <v>27</v>
      </c>
      <c r="C17" s="58">
        <v>1102</v>
      </c>
      <c r="D17" s="58">
        <v>7308</v>
      </c>
      <c r="E17" s="58">
        <v>8410</v>
      </c>
      <c r="F17" s="39"/>
      <c r="G17" s="5"/>
      <c r="H17" s="5"/>
      <c r="I17" s="5"/>
      <c r="J17" s="61"/>
      <c r="K17" s="57"/>
      <c r="L17" s="57"/>
    </row>
    <row r="18" spans="1:12" x14ac:dyDescent="0.25">
      <c r="A18" s="62" t="s">
        <v>98</v>
      </c>
      <c r="B18" s="13" t="s">
        <v>24</v>
      </c>
      <c r="C18" s="58">
        <v>1915</v>
      </c>
      <c r="D18" s="58">
        <v>6164</v>
      </c>
      <c r="E18" s="58">
        <v>8079</v>
      </c>
      <c r="F18" s="39"/>
      <c r="G18" s="5"/>
      <c r="H18" s="5"/>
      <c r="I18" s="5"/>
      <c r="J18" s="61"/>
      <c r="K18" s="57"/>
      <c r="L18" s="57"/>
    </row>
    <row r="19" spans="1:12" x14ac:dyDescent="0.25">
      <c r="A19" s="62" t="s">
        <v>97</v>
      </c>
      <c r="B19" s="13" t="s">
        <v>23</v>
      </c>
      <c r="C19" s="58">
        <v>2514</v>
      </c>
      <c r="D19" s="58">
        <v>4407</v>
      </c>
      <c r="E19" s="58">
        <v>6921</v>
      </c>
      <c r="F19" s="39"/>
      <c r="G19" s="5"/>
      <c r="H19" s="5"/>
      <c r="I19" s="5"/>
      <c r="J19" s="61"/>
      <c r="K19" s="57"/>
      <c r="L19" s="57"/>
    </row>
    <row r="20" spans="1:12" x14ac:dyDescent="0.25">
      <c r="A20" s="64" t="s">
        <v>102</v>
      </c>
      <c r="B20" s="13" t="s">
        <v>28</v>
      </c>
      <c r="C20" s="58">
        <v>1234</v>
      </c>
      <c r="D20" s="58">
        <v>4163</v>
      </c>
      <c r="E20" s="58">
        <v>5397</v>
      </c>
      <c r="F20" s="39"/>
      <c r="G20" s="5"/>
      <c r="H20" s="5"/>
      <c r="I20" s="5"/>
      <c r="J20" s="61"/>
      <c r="K20" s="57"/>
      <c r="L20" s="57"/>
    </row>
    <row r="21" spans="1:12" x14ac:dyDescent="0.25">
      <c r="A21" s="65" t="s">
        <v>79</v>
      </c>
      <c r="B21" s="66" t="s">
        <v>8</v>
      </c>
      <c r="C21" s="55">
        <v>2963</v>
      </c>
      <c r="D21" s="55">
        <v>2400</v>
      </c>
      <c r="E21" s="55">
        <v>5363</v>
      </c>
      <c r="F21" s="39"/>
      <c r="G21" s="5"/>
      <c r="H21" s="5"/>
      <c r="I21" s="5"/>
      <c r="J21" s="61"/>
      <c r="K21" s="57"/>
      <c r="L21" s="57"/>
    </row>
    <row r="22" spans="1:12" x14ac:dyDescent="0.25">
      <c r="A22" s="64" t="s">
        <v>88</v>
      </c>
      <c r="B22" s="13" t="s">
        <v>15</v>
      </c>
      <c r="C22" s="58">
        <v>1451</v>
      </c>
      <c r="D22" s="58">
        <v>3625</v>
      </c>
      <c r="E22" s="58">
        <v>5076</v>
      </c>
      <c r="F22" s="39"/>
      <c r="G22" s="5"/>
      <c r="H22" s="5"/>
      <c r="I22" s="5"/>
      <c r="J22" s="61"/>
      <c r="K22" s="57"/>
      <c r="L22" s="57"/>
    </row>
    <row r="23" spans="1:12" x14ac:dyDescent="0.25">
      <c r="A23" s="64" t="s">
        <v>96</v>
      </c>
      <c r="B23" s="13" t="s">
        <v>22</v>
      </c>
      <c r="C23" s="58">
        <v>1125</v>
      </c>
      <c r="D23" s="58">
        <v>3879</v>
      </c>
      <c r="E23" s="58">
        <v>5004</v>
      </c>
      <c r="F23" s="39"/>
      <c r="G23" s="5"/>
      <c r="H23" s="5"/>
      <c r="I23" s="5"/>
      <c r="J23" s="61"/>
      <c r="K23" s="57"/>
      <c r="L23" s="57"/>
    </row>
    <row r="24" spans="1:12" x14ac:dyDescent="0.25">
      <c r="A24" s="64" t="s">
        <v>99</v>
      </c>
      <c r="B24" s="13" t="s">
        <v>25</v>
      </c>
      <c r="C24" s="58">
        <v>2094</v>
      </c>
      <c r="D24" s="58">
        <v>2645</v>
      </c>
      <c r="E24" s="58">
        <v>4739</v>
      </c>
      <c r="F24" s="39"/>
      <c r="G24" s="5"/>
      <c r="H24" s="5"/>
      <c r="I24" s="5"/>
      <c r="J24" s="61"/>
      <c r="K24" s="57"/>
      <c r="L24" s="57"/>
    </row>
    <row r="25" spans="1:12" x14ac:dyDescent="0.25">
      <c r="A25" s="64" t="s">
        <v>83</v>
      </c>
      <c r="B25" s="39" t="s">
        <v>12</v>
      </c>
      <c r="C25" s="58">
        <v>1772</v>
      </c>
      <c r="D25" s="58">
        <v>2832</v>
      </c>
      <c r="E25" s="58">
        <v>4604</v>
      </c>
      <c r="F25" s="39"/>
      <c r="G25" s="5"/>
      <c r="H25" s="5"/>
      <c r="I25" s="5"/>
      <c r="J25" s="61"/>
      <c r="K25" s="57"/>
      <c r="L25" s="57"/>
    </row>
    <row r="26" spans="1:12" x14ac:dyDescent="0.25">
      <c r="A26" s="64" t="s">
        <v>81</v>
      </c>
      <c r="B26" s="13" t="s">
        <v>10</v>
      </c>
      <c r="C26" s="58">
        <v>1519</v>
      </c>
      <c r="D26" s="58">
        <v>2153</v>
      </c>
      <c r="E26" s="58">
        <v>3672</v>
      </c>
      <c r="F26" s="39"/>
      <c r="G26" s="5"/>
      <c r="H26" s="5"/>
      <c r="I26" s="5"/>
      <c r="J26" s="61"/>
      <c r="K26" s="57"/>
      <c r="L26" s="57"/>
    </row>
    <row r="27" spans="1:12" x14ac:dyDescent="0.25">
      <c r="A27" s="64" t="s">
        <v>82</v>
      </c>
      <c r="B27" s="13" t="s">
        <v>11</v>
      </c>
      <c r="C27" s="58">
        <v>1611</v>
      </c>
      <c r="D27" s="58">
        <v>1722</v>
      </c>
      <c r="E27" s="58">
        <v>3333</v>
      </c>
      <c r="F27" s="39"/>
      <c r="G27" s="5"/>
      <c r="H27" s="5"/>
      <c r="I27" s="5"/>
      <c r="J27" s="61"/>
      <c r="K27" s="57"/>
      <c r="L27" s="57"/>
    </row>
    <row r="28" spans="1:12" x14ac:dyDescent="0.25">
      <c r="A28" s="64" t="s">
        <v>91</v>
      </c>
      <c r="B28" s="13" t="s">
        <v>49</v>
      </c>
      <c r="C28" s="58">
        <v>2038</v>
      </c>
      <c r="D28" s="58">
        <v>1256</v>
      </c>
      <c r="E28" s="58">
        <v>3294</v>
      </c>
      <c r="F28" s="39"/>
      <c r="G28" s="5"/>
      <c r="H28" s="5"/>
      <c r="I28" s="5"/>
      <c r="J28" s="61"/>
      <c r="K28" s="57"/>
      <c r="L28" s="57"/>
    </row>
    <row r="29" spans="1:12" x14ac:dyDescent="0.25">
      <c r="A29" s="64" t="s">
        <v>90</v>
      </c>
      <c r="B29" s="6" t="s">
        <v>17</v>
      </c>
      <c r="C29" s="58">
        <v>1883</v>
      </c>
      <c r="D29" s="58">
        <v>1329</v>
      </c>
      <c r="E29" s="58">
        <v>3212</v>
      </c>
      <c r="F29" s="39"/>
      <c r="G29" s="5"/>
      <c r="H29" s="5"/>
      <c r="I29" s="5"/>
      <c r="J29" s="61"/>
      <c r="K29" s="57"/>
      <c r="L29" s="57"/>
    </row>
    <row r="30" spans="1:12" x14ac:dyDescent="0.25">
      <c r="A30" s="64" t="s">
        <v>85</v>
      </c>
      <c r="B30" s="13" t="s">
        <v>136</v>
      </c>
      <c r="C30" s="58">
        <v>1529</v>
      </c>
      <c r="D30" s="58">
        <v>1442</v>
      </c>
      <c r="E30" s="58">
        <v>2971</v>
      </c>
      <c r="F30" s="39"/>
      <c r="G30" s="5"/>
      <c r="H30" s="5"/>
      <c r="I30" s="5"/>
      <c r="J30" s="61"/>
      <c r="K30" s="57"/>
      <c r="L30" s="57"/>
    </row>
    <row r="31" spans="1:12" x14ac:dyDescent="0.25">
      <c r="A31" s="64" t="s">
        <v>86</v>
      </c>
      <c r="B31" s="13" t="s">
        <v>168</v>
      </c>
      <c r="C31" s="58">
        <v>1349</v>
      </c>
      <c r="D31" s="58">
        <v>1509</v>
      </c>
      <c r="E31" s="58">
        <v>2858</v>
      </c>
      <c r="F31" s="39"/>
      <c r="G31" s="5"/>
      <c r="H31" s="5"/>
      <c r="I31" s="5"/>
      <c r="J31" s="61"/>
      <c r="K31" s="57"/>
      <c r="L31" s="57"/>
    </row>
    <row r="32" spans="1:12" x14ac:dyDescent="0.25">
      <c r="A32" s="63" t="s">
        <v>95</v>
      </c>
      <c r="B32" s="13" t="s">
        <v>21</v>
      </c>
      <c r="C32" s="58">
        <v>1593</v>
      </c>
      <c r="D32" s="58">
        <v>1245</v>
      </c>
      <c r="E32" s="58">
        <v>2838</v>
      </c>
      <c r="F32" s="39"/>
      <c r="G32" s="5"/>
      <c r="H32" s="5"/>
      <c r="I32" s="5"/>
      <c r="J32" s="61"/>
      <c r="K32" s="57"/>
      <c r="L32" s="57"/>
    </row>
    <row r="33" spans="1:12" x14ac:dyDescent="0.25">
      <c r="A33" s="64" t="s">
        <v>87</v>
      </c>
      <c r="B33" s="13" t="s">
        <v>14</v>
      </c>
      <c r="C33" s="58">
        <v>1474</v>
      </c>
      <c r="D33" s="58">
        <v>1006</v>
      </c>
      <c r="E33" s="58">
        <v>2480</v>
      </c>
      <c r="F33" s="39"/>
      <c r="G33" s="5"/>
      <c r="H33" s="5"/>
      <c r="I33" s="5"/>
      <c r="J33" s="61"/>
      <c r="K33" s="57"/>
      <c r="L33" s="57"/>
    </row>
    <row r="34" spans="1:12" x14ac:dyDescent="0.25">
      <c r="A34" s="64" t="s">
        <v>103</v>
      </c>
      <c r="B34" s="13" t="s">
        <v>29</v>
      </c>
      <c r="C34" s="58">
        <v>1564</v>
      </c>
      <c r="D34" s="58">
        <v>898</v>
      </c>
      <c r="E34" s="58">
        <v>2462</v>
      </c>
      <c r="F34" s="39"/>
      <c r="G34" s="5"/>
      <c r="H34" s="5"/>
      <c r="I34" s="5"/>
      <c r="J34" s="61"/>
      <c r="K34" s="57"/>
      <c r="L34" s="57"/>
    </row>
    <row r="35" spans="1:12" x14ac:dyDescent="0.25">
      <c r="A35" s="64" t="s">
        <v>93</v>
      </c>
      <c r="B35" s="13" t="s">
        <v>19</v>
      </c>
      <c r="C35" s="58">
        <v>1494</v>
      </c>
      <c r="D35" s="58">
        <v>509</v>
      </c>
      <c r="E35" s="58">
        <v>2003</v>
      </c>
      <c r="F35" s="39"/>
      <c r="G35" s="5"/>
      <c r="H35" s="5"/>
      <c r="I35" s="5"/>
      <c r="J35" s="61"/>
      <c r="K35" s="57"/>
      <c r="L35" s="57"/>
    </row>
    <row r="36" spans="1:12" x14ac:dyDescent="0.25">
      <c r="A36" s="64" t="s">
        <v>100</v>
      </c>
      <c r="B36" s="13" t="s">
        <v>26</v>
      </c>
      <c r="C36" s="58">
        <v>1370</v>
      </c>
      <c r="D36" s="58">
        <v>508</v>
      </c>
      <c r="E36" s="58">
        <v>1878</v>
      </c>
      <c r="F36" s="39"/>
      <c r="G36" s="5"/>
      <c r="H36" s="5"/>
      <c r="I36" s="5"/>
      <c r="J36" s="61"/>
      <c r="K36" s="57"/>
      <c r="L36" s="57"/>
    </row>
    <row r="37" spans="1:12" x14ac:dyDescent="0.25">
      <c r="A37" s="64" t="s">
        <v>89</v>
      </c>
      <c r="B37" s="13" t="s">
        <v>16</v>
      </c>
      <c r="C37" s="58">
        <v>1283</v>
      </c>
      <c r="D37" s="58">
        <v>555</v>
      </c>
      <c r="E37" s="58">
        <v>1838</v>
      </c>
      <c r="F37" s="39"/>
      <c r="G37" s="5"/>
      <c r="H37" s="5"/>
      <c r="I37" s="5"/>
      <c r="J37" s="61"/>
      <c r="K37" s="57"/>
      <c r="L37" s="57"/>
    </row>
    <row r="38" spans="1:12" x14ac:dyDescent="0.25">
      <c r="A38" s="64" t="s">
        <v>92</v>
      </c>
      <c r="B38" s="13" t="s">
        <v>18</v>
      </c>
      <c r="C38" s="58">
        <v>1117</v>
      </c>
      <c r="D38" s="58">
        <v>213</v>
      </c>
      <c r="E38" s="58">
        <v>1330</v>
      </c>
      <c r="F38" s="39"/>
      <c r="G38" s="5"/>
      <c r="H38" s="5"/>
      <c r="I38" s="5"/>
      <c r="J38" s="61"/>
      <c r="K38" s="57"/>
      <c r="L38" s="57"/>
    </row>
    <row r="39" spans="1:12" x14ac:dyDescent="0.25">
      <c r="A39" s="63"/>
      <c r="B39" s="13"/>
      <c r="C39" s="58"/>
      <c r="D39" s="58"/>
      <c r="E39" s="13"/>
      <c r="F39" s="39"/>
      <c r="G39" s="5"/>
      <c r="J39" s="61"/>
      <c r="K39" s="57"/>
      <c r="L39" s="57"/>
    </row>
    <row r="40" spans="1:12" x14ac:dyDescent="0.25">
      <c r="A40" s="64" t="s">
        <v>107</v>
      </c>
      <c r="B40" s="13" t="s">
        <v>141</v>
      </c>
      <c r="C40" s="58">
        <v>889</v>
      </c>
      <c r="D40" s="58">
        <v>10199</v>
      </c>
      <c r="E40" s="13">
        <v>11088</v>
      </c>
      <c r="F40" s="39"/>
      <c r="G40" s="5"/>
      <c r="H40" s="5"/>
      <c r="I40" s="5"/>
      <c r="J40" s="61"/>
      <c r="K40" s="57"/>
      <c r="L40" s="57"/>
    </row>
    <row r="41" spans="1:12" x14ac:dyDescent="0.25">
      <c r="A41" s="63" t="s">
        <v>158</v>
      </c>
      <c r="B41" s="13" t="s">
        <v>179</v>
      </c>
      <c r="C41" s="58">
        <v>1442</v>
      </c>
      <c r="D41" s="58">
        <v>1453</v>
      </c>
      <c r="E41" s="13">
        <v>2895</v>
      </c>
      <c r="F41" s="39"/>
      <c r="G41" s="5"/>
      <c r="H41" s="5"/>
      <c r="I41" s="5"/>
      <c r="J41" s="61"/>
      <c r="K41" s="57"/>
      <c r="L41" s="57"/>
    </row>
    <row r="42" spans="1:12" x14ac:dyDescent="0.25">
      <c r="A42" s="64" t="s">
        <v>108</v>
      </c>
      <c r="B42" s="13" t="s">
        <v>32</v>
      </c>
      <c r="C42" s="58">
        <v>1618</v>
      </c>
      <c r="D42" s="58">
        <v>955</v>
      </c>
      <c r="E42" s="13">
        <v>2573</v>
      </c>
      <c r="F42" s="39"/>
      <c r="G42" s="5"/>
      <c r="J42" s="61"/>
      <c r="K42" s="57"/>
      <c r="L42" s="57"/>
    </row>
    <row r="43" spans="1:12" x14ac:dyDescent="0.25">
      <c r="A43" s="63"/>
      <c r="B43" s="5"/>
      <c r="C43" s="58"/>
      <c r="D43" s="58"/>
      <c r="E43" s="67"/>
      <c r="F43" s="13"/>
      <c r="G43" s="5"/>
      <c r="H43" s="5"/>
      <c r="I43" s="5"/>
      <c r="J43" s="61"/>
      <c r="K43" s="57"/>
      <c r="L43" s="57"/>
    </row>
    <row r="44" spans="1:12" ht="13" x14ac:dyDescent="0.25">
      <c r="A44" s="64" t="s">
        <v>111</v>
      </c>
      <c r="B44" s="6" t="s">
        <v>35</v>
      </c>
      <c r="C44" s="58">
        <v>1680</v>
      </c>
      <c r="D44" s="58">
        <v>24645</v>
      </c>
      <c r="E44" s="58">
        <v>26325</v>
      </c>
      <c r="F44" s="13"/>
      <c r="G44" s="5"/>
      <c r="H44" s="1"/>
      <c r="J44" s="61"/>
      <c r="K44" s="57"/>
      <c r="L44" s="57"/>
    </row>
    <row r="45" spans="1:12" ht="13" x14ac:dyDescent="0.25">
      <c r="A45" s="63" t="s">
        <v>109</v>
      </c>
      <c r="B45" s="13" t="s">
        <v>33</v>
      </c>
      <c r="C45" s="58">
        <v>1164</v>
      </c>
      <c r="D45" s="58">
        <v>886</v>
      </c>
      <c r="E45" s="58">
        <v>2050</v>
      </c>
      <c r="F45" s="13"/>
      <c r="G45" s="5"/>
      <c r="H45" s="1"/>
      <c r="J45" s="61"/>
      <c r="K45" s="57"/>
      <c r="L45" s="57"/>
    </row>
    <row r="46" spans="1:12" ht="13" x14ac:dyDescent="0.25">
      <c r="A46" s="64" t="s">
        <v>112</v>
      </c>
      <c r="B46" s="68" t="s">
        <v>139</v>
      </c>
      <c r="C46" s="58">
        <v>946</v>
      </c>
      <c r="D46" s="58">
        <v>338</v>
      </c>
      <c r="E46" s="58">
        <v>1284</v>
      </c>
      <c r="F46" s="13"/>
      <c r="G46" s="5"/>
      <c r="H46" s="1"/>
      <c r="J46" s="61"/>
      <c r="K46" s="57"/>
      <c r="L46" s="57"/>
    </row>
    <row r="47" spans="1:12" ht="13" x14ac:dyDescent="0.25">
      <c r="A47" s="63" t="s">
        <v>110</v>
      </c>
      <c r="B47" s="13" t="s">
        <v>34</v>
      </c>
      <c r="C47" s="58">
        <v>712</v>
      </c>
      <c r="D47" s="58">
        <v>326</v>
      </c>
      <c r="E47" s="58">
        <v>1038</v>
      </c>
      <c r="F47" s="13"/>
      <c r="G47" s="5"/>
      <c r="H47" s="1"/>
      <c r="J47" s="61"/>
      <c r="K47" s="57"/>
      <c r="L47" s="57"/>
    </row>
    <row r="48" spans="1:12" ht="13" x14ac:dyDescent="0.25">
      <c r="A48" s="64"/>
      <c r="B48" s="13"/>
      <c r="C48" s="58"/>
      <c r="D48" s="58"/>
      <c r="E48" s="67"/>
      <c r="F48" s="13"/>
      <c r="G48" s="5"/>
      <c r="H48" s="1"/>
      <c r="J48" s="61"/>
      <c r="K48" s="57"/>
      <c r="L48" s="57"/>
    </row>
    <row r="49" spans="1:12" ht="13" x14ac:dyDescent="0.25">
      <c r="A49" s="13" t="s">
        <v>145</v>
      </c>
      <c r="B49" s="13" t="s">
        <v>194</v>
      </c>
      <c r="C49" s="58">
        <v>180</v>
      </c>
      <c r="D49" s="58">
        <f>E49-C49</f>
        <v>65</v>
      </c>
      <c r="E49" s="67">
        <v>245</v>
      </c>
      <c r="F49" s="13"/>
      <c r="G49" s="5"/>
      <c r="H49" s="1"/>
      <c r="J49" s="61"/>
      <c r="K49" s="57"/>
      <c r="L49" s="57"/>
    </row>
    <row r="50" spans="1:12" ht="24" customHeight="1" x14ac:dyDescent="0.25">
      <c r="A50" s="5" t="s">
        <v>113</v>
      </c>
      <c r="B50" s="13" t="s">
        <v>133</v>
      </c>
      <c r="C50" s="69">
        <v>1642</v>
      </c>
      <c r="D50" s="69">
        <f>E50-C50</f>
        <v>155</v>
      </c>
      <c r="E50" s="69">
        <v>1797</v>
      </c>
      <c r="F50" s="13"/>
      <c r="G50" s="5"/>
      <c r="H50" s="1"/>
      <c r="J50" s="61"/>
      <c r="K50" s="57"/>
      <c r="L50" s="57"/>
    </row>
    <row r="51" spans="1:12" ht="12.75" customHeight="1" x14ac:dyDescent="0.25">
      <c r="A51" s="63" t="s">
        <v>114</v>
      </c>
      <c r="B51" s="13" t="s">
        <v>172</v>
      </c>
      <c r="C51" s="58">
        <v>1414</v>
      </c>
      <c r="D51" s="58">
        <v>34</v>
      </c>
      <c r="E51" s="58">
        <v>1448</v>
      </c>
      <c r="F51" s="13"/>
      <c r="G51" s="5"/>
      <c r="H51" s="5"/>
      <c r="I51" s="5"/>
      <c r="J51" s="61"/>
      <c r="K51" s="57"/>
      <c r="L51" s="57"/>
    </row>
    <row r="52" spans="1:12" x14ac:dyDescent="0.25">
      <c r="A52" s="5"/>
      <c r="B52" s="13"/>
      <c r="C52" s="58"/>
      <c r="D52" s="58"/>
      <c r="E52" s="70"/>
      <c r="F52" s="13"/>
      <c r="G52" s="5"/>
      <c r="J52" s="61"/>
      <c r="K52" s="57"/>
      <c r="L52" s="57"/>
    </row>
    <row r="53" spans="1:12" x14ac:dyDescent="0.25">
      <c r="A53" s="5"/>
      <c r="B53" s="5"/>
      <c r="C53" s="58"/>
      <c r="D53" s="58"/>
      <c r="E53" s="70"/>
      <c r="F53" s="13"/>
      <c r="G53" s="5"/>
      <c r="J53" s="61"/>
      <c r="K53" s="57"/>
      <c r="L53" s="57"/>
    </row>
    <row r="54" spans="1:12" x14ac:dyDescent="0.25">
      <c r="A54" s="5"/>
      <c r="B54" s="5"/>
      <c r="C54" s="13"/>
      <c r="D54" s="13"/>
      <c r="E54" s="13"/>
      <c r="F54" s="13"/>
      <c r="G54" s="6" t="s">
        <v>69</v>
      </c>
      <c r="J54" s="61"/>
      <c r="K54" s="57"/>
      <c r="L54" s="57"/>
    </row>
    <row r="55" spans="1:12" x14ac:dyDescent="0.25">
      <c r="A55" s="5"/>
      <c r="B55" s="5"/>
      <c r="C55" s="13"/>
      <c r="D55" s="13"/>
      <c r="E55" s="13"/>
      <c r="F55" s="13"/>
      <c r="G55" s="2" t="s">
        <v>198</v>
      </c>
      <c r="J55" s="61"/>
      <c r="K55" s="57"/>
      <c r="L55" s="57"/>
    </row>
    <row r="56" spans="1:12" ht="14.5" customHeight="1" x14ac:dyDescent="0.25">
      <c r="A56" s="5"/>
      <c r="B56" s="5"/>
      <c r="C56" s="13"/>
      <c r="D56" s="13"/>
      <c r="E56" s="13"/>
      <c r="F56" s="13"/>
      <c r="G56" s="71" t="s">
        <v>202</v>
      </c>
      <c r="J56" s="61"/>
      <c r="K56" s="57"/>
      <c r="L56" s="57"/>
    </row>
    <row r="57" spans="1:12" ht="14.5" customHeight="1" x14ac:dyDescent="0.25">
      <c r="A57" s="5"/>
      <c r="B57" s="5"/>
      <c r="C57" s="13"/>
      <c r="D57" s="13"/>
      <c r="E57" s="13"/>
      <c r="F57" s="13"/>
      <c r="G57" s="71" t="s">
        <v>203</v>
      </c>
      <c r="J57" s="61"/>
      <c r="K57" s="57"/>
      <c r="L57" s="57"/>
    </row>
    <row r="58" spans="1:12" ht="14.5" customHeight="1" x14ac:dyDescent="0.25">
      <c r="A58" s="5"/>
      <c r="B58" s="5"/>
      <c r="E58" s="5"/>
      <c r="F58" s="13"/>
      <c r="G58" s="72" t="s">
        <v>173</v>
      </c>
      <c r="J58" s="61"/>
      <c r="K58" s="57"/>
      <c r="L58" s="57"/>
    </row>
    <row r="59" spans="1:12" ht="13" x14ac:dyDescent="0.25">
      <c r="B59" s="13"/>
      <c r="G59" s="26" t="s">
        <v>174</v>
      </c>
    </row>
    <row r="60" spans="1:12" x14ac:dyDescent="0.25">
      <c r="B60" s="13"/>
    </row>
    <row r="61" spans="1:12" ht="13" x14ac:dyDescent="0.25">
      <c r="A61" s="41"/>
    </row>
    <row r="71" spans="2:4" x14ac:dyDescent="0.25">
      <c r="B71" s="6" t="s">
        <v>120</v>
      </c>
      <c r="C71" s="6" t="s">
        <v>132</v>
      </c>
    </row>
    <row r="72" spans="2:4" x14ac:dyDescent="0.25">
      <c r="B72" s="6" t="s">
        <v>128</v>
      </c>
      <c r="C72" s="6">
        <v>2020</v>
      </c>
    </row>
    <row r="73" spans="2:4" x14ac:dyDescent="0.25">
      <c r="B73" s="6" t="s">
        <v>126</v>
      </c>
      <c r="C73" s="6" t="s">
        <v>125</v>
      </c>
    </row>
    <row r="74" spans="2:4" x14ac:dyDescent="0.25">
      <c r="B74" s="6" t="s">
        <v>123</v>
      </c>
      <c r="C74" s="6" t="s">
        <v>124</v>
      </c>
    </row>
    <row r="75" spans="2:4" x14ac:dyDescent="0.25">
      <c r="B75" s="6" t="s">
        <v>129</v>
      </c>
      <c r="C75" s="6" t="s">
        <v>122</v>
      </c>
      <c r="D75" s="6" t="s">
        <v>127</v>
      </c>
    </row>
    <row r="76" spans="2:4" x14ac:dyDescent="0.25">
      <c r="B76" s="6" t="s">
        <v>121</v>
      </c>
      <c r="C76" s="6">
        <v>1745.1892441395901</v>
      </c>
      <c r="D76" s="6">
        <v>4808.2401812479202</v>
      </c>
    </row>
    <row r="77" spans="2:4" x14ac:dyDescent="0.25">
      <c r="B77" s="6" t="s">
        <v>87</v>
      </c>
      <c r="C77" s="6">
        <v>1425.8600667508899</v>
      </c>
      <c r="D77" s="6">
        <v>2236.4698556369499</v>
      </c>
    </row>
    <row r="112" spans="1:1" ht="13" x14ac:dyDescent="0.25">
      <c r="A112" s="50"/>
    </row>
  </sheetData>
  <sortState xmlns:xlrd2="http://schemas.microsoft.com/office/spreadsheetml/2017/richdata2" ref="A50:E51">
    <sortCondition descending="1" ref="E50:E51"/>
  </sortState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J67"/>
  <sheetViews>
    <sheetView showGridLines="0" topLeftCell="A23" zoomScaleNormal="100" workbookViewId="0">
      <selection activeCell="M50" sqref="M50"/>
    </sheetView>
  </sheetViews>
  <sheetFormatPr defaultColWidth="9.09765625" defaultRowHeight="12.5" x14ac:dyDescent="0.25"/>
  <cols>
    <col min="1" max="1" width="9.09765625" style="6"/>
    <col min="2" max="2" width="16.3984375" style="6" customWidth="1"/>
    <col min="3" max="1024" width="9.09765625" style="6"/>
    <col min="1025" max="16384" width="9.09765625" style="5"/>
  </cols>
  <sheetData>
    <row r="1" spans="1:1023" ht="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  <c r="Q1" s="1"/>
      <c r="R1" s="1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spans="1:1023" ht="13" x14ac:dyDescent="0.25">
      <c r="A2" s="5"/>
      <c r="B2" s="29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"/>
      <c r="Q2" s="1"/>
      <c r="R2" s="1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spans="1:1023" ht="13" x14ac:dyDescent="0.25">
      <c r="A3" s="5"/>
      <c r="B3" s="1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1"/>
      <c r="R3" s="1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</row>
    <row r="5" spans="1:1023" s="177" customFormat="1" ht="13" x14ac:dyDescent="0.25">
      <c r="B5" s="177" t="s">
        <v>159</v>
      </c>
    </row>
    <row r="6" spans="1:1023" x14ac:dyDescent="0.25">
      <c r="A6" s="5"/>
      <c r="B6" s="175" t="s">
        <v>68</v>
      </c>
      <c r="C6" s="73"/>
      <c r="D6" s="73"/>
      <c r="E6" s="175"/>
      <c r="G6" s="175"/>
      <c r="H6" s="175"/>
      <c r="I6" s="175"/>
      <c r="J6" s="175"/>
      <c r="K6" s="175"/>
      <c r="L6" s="175"/>
      <c r="M6" s="175"/>
      <c r="N6" s="175"/>
      <c r="O6" s="30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</row>
    <row r="7" spans="1:1023" x14ac:dyDescent="0.25">
      <c r="A7" s="5"/>
      <c r="B7" s="5"/>
      <c r="C7" s="5"/>
      <c r="D7" s="5"/>
      <c r="E7" s="5"/>
      <c r="F7" s="5"/>
      <c r="G7" s="5"/>
      <c r="I7" s="5"/>
      <c r="J7" s="5"/>
      <c r="L7" s="5"/>
      <c r="M7" s="5"/>
      <c r="N7" s="5"/>
      <c r="O7" s="13"/>
      <c r="P7" s="5"/>
      <c r="Q7" s="5"/>
      <c r="R7" s="5"/>
      <c r="S7" s="175"/>
      <c r="U7" s="5"/>
      <c r="W7" s="5"/>
      <c r="X7" s="5"/>
      <c r="Y7" s="5"/>
    </row>
    <row r="8" spans="1:1023" x14ac:dyDescent="0.25">
      <c r="A8" s="5"/>
      <c r="B8" s="5"/>
      <c r="C8" s="5"/>
      <c r="D8" s="5"/>
      <c r="E8" s="5"/>
      <c r="F8" s="5"/>
      <c r="G8" s="5"/>
      <c r="I8" s="5"/>
      <c r="J8" s="5"/>
      <c r="L8" s="5"/>
      <c r="M8" s="5"/>
      <c r="N8" s="5"/>
      <c r="P8" s="68"/>
      <c r="Q8" s="5"/>
      <c r="R8" s="5"/>
      <c r="S8" s="5"/>
      <c r="U8" s="5"/>
      <c r="W8" s="5"/>
      <c r="X8" s="5"/>
      <c r="Y8" s="5"/>
    </row>
    <row r="9" spans="1:1023" ht="13" x14ac:dyDescent="0.25">
      <c r="A9" s="5"/>
      <c r="B9" s="5"/>
      <c r="C9" s="38">
        <v>2010</v>
      </c>
      <c r="D9" s="38">
        <v>2022</v>
      </c>
      <c r="E9" s="31"/>
      <c r="F9" s="31"/>
      <c r="G9" s="5"/>
      <c r="I9" s="5"/>
      <c r="J9" s="5"/>
      <c r="L9" s="5"/>
      <c r="M9" s="5"/>
      <c r="N9" s="5"/>
      <c r="P9" s="5"/>
      <c r="Q9" s="5"/>
      <c r="R9" s="5"/>
      <c r="S9" s="5"/>
      <c r="U9" s="5"/>
      <c r="W9" s="5"/>
      <c r="X9" s="5"/>
      <c r="Y9" s="5"/>
    </row>
    <row r="10" spans="1:1023" x14ac:dyDescent="0.25">
      <c r="A10" s="5"/>
      <c r="B10" s="13" t="s">
        <v>118</v>
      </c>
      <c r="C10" s="33">
        <v>1720.1757904630099</v>
      </c>
      <c r="D10" s="33">
        <v>1777</v>
      </c>
      <c r="E10" s="35"/>
      <c r="F10" s="35"/>
      <c r="G10" s="5"/>
      <c r="I10" s="13"/>
      <c r="J10" s="13"/>
      <c r="L10" s="5"/>
      <c r="M10" s="5"/>
      <c r="N10" s="5"/>
      <c r="P10" s="13"/>
      <c r="Q10" s="5"/>
      <c r="R10" s="5"/>
      <c r="S10" s="5"/>
      <c r="U10" s="5"/>
      <c r="W10" s="5"/>
      <c r="X10" s="5"/>
      <c r="Y10" s="5"/>
    </row>
    <row r="11" spans="1:1023" x14ac:dyDescent="0.25">
      <c r="A11" s="5"/>
      <c r="B11" s="13"/>
      <c r="C11" s="74"/>
      <c r="D11" s="33"/>
      <c r="E11" s="35"/>
      <c r="F11" s="35"/>
      <c r="G11" s="5"/>
      <c r="I11" s="13"/>
      <c r="J11" s="13"/>
      <c r="L11" s="5"/>
      <c r="M11" s="5"/>
      <c r="N11" s="5"/>
      <c r="P11" s="13"/>
      <c r="Q11" s="5"/>
      <c r="R11" s="5"/>
      <c r="S11" s="5"/>
      <c r="U11" s="5"/>
      <c r="W11" s="5"/>
      <c r="X11" s="5"/>
      <c r="Y11" s="5"/>
    </row>
    <row r="12" spans="1:1023" x14ac:dyDescent="0.25">
      <c r="A12" s="13" t="s">
        <v>84</v>
      </c>
      <c r="B12" s="13" t="s">
        <v>13</v>
      </c>
      <c r="C12" s="33">
        <v>8612</v>
      </c>
      <c r="D12" s="33">
        <v>7491</v>
      </c>
      <c r="E12" s="35"/>
      <c r="F12" s="35"/>
      <c r="G12" s="5"/>
      <c r="I12" s="13"/>
      <c r="J12" s="13"/>
      <c r="L12" s="5"/>
      <c r="M12" s="5"/>
      <c r="N12" s="5"/>
      <c r="P12" s="13"/>
      <c r="Q12" s="5"/>
      <c r="R12" s="5"/>
      <c r="S12" s="5"/>
      <c r="U12" s="5"/>
      <c r="W12" s="5"/>
      <c r="X12" s="5"/>
      <c r="Y12" s="5"/>
    </row>
    <row r="13" spans="1:1023" x14ac:dyDescent="0.25">
      <c r="A13" s="75" t="s">
        <v>80</v>
      </c>
      <c r="B13" s="75" t="s">
        <v>9</v>
      </c>
      <c r="C13" s="76">
        <v>2002</v>
      </c>
      <c r="D13" s="76">
        <v>3761</v>
      </c>
      <c r="E13" s="35"/>
      <c r="F13" s="35"/>
      <c r="G13" s="5"/>
      <c r="I13" s="13"/>
      <c r="J13" s="13"/>
      <c r="L13" s="5"/>
      <c r="M13" s="5"/>
      <c r="N13" s="5"/>
      <c r="P13" s="13"/>
      <c r="Q13" s="5"/>
      <c r="R13" s="5"/>
      <c r="S13" s="5"/>
      <c r="U13" s="5"/>
      <c r="W13" s="5"/>
      <c r="X13" s="5"/>
      <c r="Y13" s="5"/>
    </row>
    <row r="14" spans="1:1023" x14ac:dyDescent="0.25">
      <c r="A14" s="13" t="s">
        <v>79</v>
      </c>
      <c r="B14" s="75" t="s">
        <v>8</v>
      </c>
      <c r="C14" s="33">
        <v>3619</v>
      </c>
      <c r="D14" s="33">
        <v>2963</v>
      </c>
      <c r="E14" s="35"/>
      <c r="F14" s="35"/>
      <c r="G14" s="13"/>
      <c r="I14" s="13"/>
      <c r="J14" s="13"/>
      <c r="L14" s="5"/>
      <c r="M14" s="5"/>
      <c r="N14" s="5"/>
      <c r="P14" s="13"/>
      <c r="Q14" s="5"/>
      <c r="R14" s="5"/>
      <c r="S14" s="5"/>
      <c r="U14" s="5"/>
      <c r="W14" s="5"/>
      <c r="X14" s="5"/>
      <c r="Y14" s="5"/>
    </row>
    <row r="15" spans="1:1023" x14ac:dyDescent="0.25">
      <c r="A15" s="13" t="s">
        <v>94</v>
      </c>
      <c r="B15" s="13" t="s">
        <v>20</v>
      </c>
      <c r="C15" s="33">
        <v>3008</v>
      </c>
      <c r="D15" s="33">
        <v>2655</v>
      </c>
      <c r="E15" s="35"/>
      <c r="F15" s="35"/>
      <c r="G15" s="5"/>
      <c r="I15" s="13"/>
      <c r="J15" s="13"/>
      <c r="L15" s="5"/>
      <c r="M15" s="5"/>
      <c r="N15" s="5"/>
      <c r="P15" s="13"/>
      <c r="Q15" s="5"/>
      <c r="R15" s="5"/>
      <c r="S15" s="5"/>
      <c r="U15" s="5"/>
      <c r="W15" s="38"/>
      <c r="X15" s="38"/>
      <c r="Y15" s="38"/>
    </row>
    <row r="16" spans="1:1023" x14ac:dyDescent="0.25">
      <c r="A16" s="13" t="s">
        <v>97</v>
      </c>
      <c r="B16" s="13" t="s">
        <v>23</v>
      </c>
      <c r="C16" s="33">
        <v>2626</v>
      </c>
      <c r="D16" s="33">
        <v>2514</v>
      </c>
      <c r="E16" s="35"/>
      <c r="F16" s="35"/>
      <c r="G16" s="5"/>
      <c r="I16" s="13"/>
      <c r="J16" s="13"/>
      <c r="L16" s="5"/>
      <c r="M16" s="5"/>
      <c r="N16" s="5"/>
      <c r="P16" s="13"/>
      <c r="Q16" s="5"/>
      <c r="R16" s="5"/>
      <c r="S16" s="5"/>
      <c r="U16" s="5"/>
      <c r="W16" s="38"/>
      <c r="X16" s="38"/>
      <c r="Y16" s="38"/>
    </row>
    <row r="17" spans="1:24" x14ac:dyDescent="0.25">
      <c r="A17" s="13" t="s">
        <v>105</v>
      </c>
      <c r="B17" s="13" t="s">
        <v>31</v>
      </c>
      <c r="C17" s="33">
        <v>1969</v>
      </c>
      <c r="D17" s="33">
        <v>2156</v>
      </c>
      <c r="E17" s="35"/>
      <c r="F17" s="35"/>
      <c r="G17" s="32"/>
      <c r="I17" s="13"/>
      <c r="J17" s="13"/>
      <c r="L17" s="5"/>
      <c r="M17" s="5"/>
      <c r="N17" s="5"/>
      <c r="P17" s="13"/>
      <c r="Q17" s="5"/>
      <c r="R17" s="5"/>
      <c r="S17" s="5"/>
      <c r="U17" s="13"/>
      <c r="W17" s="5"/>
      <c r="X17" s="5"/>
    </row>
    <row r="18" spans="1:24" x14ac:dyDescent="0.25">
      <c r="A18" s="13" t="s">
        <v>99</v>
      </c>
      <c r="B18" s="13" t="s">
        <v>25</v>
      </c>
      <c r="C18" s="33">
        <v>1754</v>
      </c>
      <c r="D18" s="33">
        <v>2094</v>
      </c>
      <c r="E18" s="35"/>
      <c r="F18" s="35"/>
      <c r="G18" s="5"/>
      <c r="I18" s="13"/>
      <c r="J18" s="13"/>
      <c r="L18" s="5"/>
      <c r="M18" s="5"/>
      <c r="N18" s="5"/>
      <c r="P18" s="13"/>
      <c r="Q18" s="5"/>
      <c r="R18" s="5"/>
      <c r="S18" s="5"/>
      <c r="U18" s="13"/>
      <c r="W18" s="5"/>
      <c r="X18" s="5"/>
    </row>
    <row r="19" spans="1:24" x14ac:dyDescent="0.25">
      <c r="A19" s="13" t="s">
        <v>91</v>
      </c>
      <c r="B19" s="13" t="s">
        <v>49</v>
      </c>
      <c r="C19" s="33">
        <v>1042</v>
      </c>
      <c r="D19" s="33">
        <v>2038</v>
      </c>
      <c r="E19" s="35"/>
      <c r="F19" s="35"/>
      <c r="G19" s="5"/>
      <c r="I19" s="13"/>
      <c r="J19" s="13"/>
      <c r="L19" s="5"/>
      <c r="M19" s="5"/>
      <c r="N19" s="5"/>
      <c r="P19" s="13"/>
      <c r="Q19" s="5"/>
      <c r="R19" s="5"/>
      <c r="S19" s="5"/>
      <c r="U19" s="13"/>
      <c r="W19" s="5"/>
      <c r="X19" s="5"/>
    </row>
    <row r="20" spans="1:24" x14ac:dyDescent="0.25">
      <c r="A20" s="13" t="s">
        <v>98</v>
      </c>
      <c r="B20" s="30" t="s">
        <v>24</v>
      </c>
      <c r="C20" s="33">
        <v>1903</v>
      </c>
      <c r="D20" s="33">
        <v>1915</v>
      </c>
      <c r="E20" s="35"/>
      <c r="F20" s="35"/>
      <c r="G20" s="5"/>
      <c r="I20" s="13"/>
      <c r="J20" s="13"/>
      <c r="L20" s="5"/>
      <c r="M20" s="5"/>
      <c r="N20" s="5"/>
      <c r="P20" s="13"/>
      <c r="Q20" s="5"/>
      <c r="R20" s="5"/>
      <c r="S20" s="5"/>
      <c r="U20" s="13"/>
      <c r="W20" s="5"/>
      <c r="X20" s="5"/>
    </row>
    <row r="21" spans="1:24" x14ac:dyDescent="0.25">
      <c r="A21" s="13" t="s">
        <v>90</v>
      </c>
      <c r="B21" s="13" t="s">
        <v>17</v>
      </c>
      <c r="C21" s="33">
        <v>1674</v>
      </c>
      <c r="D21" s="33">
        <v>1883</v>
      </c>
      <c r="E21" s="35"/>
      <c r="F21" s="35"/>
      <c r="G21" s="13"/>
      <c r="I21" s="13"/>
      <c r="J21" s="13"/>
      <c r="L21" s="5"/>
      <c r="M21" s="5"/>
      <c r="N21" s="5"/>
      <c r="P21" s="13"/>
      <c r="Q21" s="5"/>
      <c r="R21" s="5"/>
      <c r="S21" s="5"/>
      <c r="U21" s="13"/>
      <c r="W21" s="5"/>
      <c r="X21" s="5"/>
    </row>
    <row r="22" spans="1:24" x14ac:dyDescent="0.25">
      <c r="A22" s="13" t="s">
        <v>104</v>
      </c>
      <c r="B22" s="13" t="s">
        <v>30</v>
      </c>
      <c r="C22" s="33">
        <v>4517</v>
      </c>
      <c r="D22" s="33">
        <v>1802</v>
      </c>
      <c r="E22" s="35"/>
      <c r="F22" s="35"/>
      <c r="G22" s="5"/>
      <c r="I22" s="13"/>
      <c r="J22" s="13"/>
      <c r="L22" s="5"/>
      <c r="M22" s="5"/>
      <c r="N22" s="5"/>
      <c r="P22" s="13"/>
      <c r="Q22" s="5"/>
      <c r="R22" s="5"/>
      <c r="S22" s="5"/>
      <c r="U22" s="13"/>
      <c r="W22" s="5"/>
      <c r="X22" s="5"/>
    </row>
    <row r="23" spans="1:24" x14ac:dyDescent="0.25">
      <c r="A23" s="13" t="s">
        <v>83</v>
      </c>
      <c r="B23" s="13" t="s">
        <v>12</v>
      </c>
      <c r="C23" s="33">
        <v>1713</v>
      </c>
      <c r="D23" s="33">
        <v>1772</v>
      </c>
      <c r="E23" s="13"/>
      <c r="F23" s="35"/>
      <c r="G23" s="5"/>
      <c r="I23" s="13"/>
      <c r="J23" s="13"/>
      <c r="L23" s="5"/>
      <c r="M23" s="5"/>
      <c r="N23" s="5"/>
      <c r="P23" s="13"/>
      <c r="Q23" s="5"/>
      <c r="R23" s="5"/>
      <c r="S23" s="5"/>
      <c r="U23" s="13"/>
      <c r="W23" s="5"/>
      <c r="X23" s="5"/>
    </row>
    <row r="24" spans="1:24" x14ac:dyDescent="0.25">
      <c r="A24" s="13" t="s">
        <v>82</v>
      </c>
      <c r="B24" s="13" t="s">
        <v>11</v>
      </c>
      <c r="C24" s="33">
        <v>1915</v>
      </c>
      <c r="D24" s="33">
        <v>1611</v>
      </c>
      <c r="E24" s="35"/>
      <c r="F24" s="35"/>
      <c r="G24" s="5"/>
      <c r="I24" s="13"/>
      <c r="J24" s="13"/>
      <c r="L24" s="5"/>
      <c r="M24" s="5"/>
      <c r="N24" s="5"/>
      <c r="P24" s="13"/>
      <c r="Q24" s="5"/>
      <c r="R24" s="5"/>
      <c r="S24" s="5"/>
      <c r="U24" s="13"/>
      <c r="W24" s="5"/>
      <c r="X24" s="5"/>
    </row>
    <row r="25" spans="1:24" x14ac:dyDescent="0.25">
      <c r="A25" s="13" t="s">
        <v>95</v>
      </c>
      <c r="B25" s="13" t="s">
        <v>21</v>
      </c>
      <c r="C25" s="33">
        <v>1156</v>
      </c>
      <c r="D25" s="33">
        <v>1593</v>
      </c>
      <c r="E25" s="35"/>
      <c r="F25" s="35"/>
      <c r="G25" s="13"/>
      <c r="I25" s="13"/>
      <c r="J25" s="13"/>
      <c r="L25" s="5"/>
      <c r="M25" s="5"/>
      <c r="N25" s="5"/>
      <c r="P25" s="13"/>
      <c r="Q25" s="5"/>
      <c r="R25" s="5"/>
      <c r="S25" s="5"/>
      <c r="U25" s="13"/>
      <c r="W25" s="5"/>
      <c r="X25" s="5"/>
    </row>
    <row r="26" spans="1:24" x14ac:dyDescent="0.25">
      <c r="A26" s="13" t="s">
        <v>103</v>
      </c>
      <c r="B26" s="13" t="s">
        <v>29</v>
      </c>
      <c r="C26" s="33">
        <v>1230</v>
      </c>
      <c r="D26" s="33">
        <v>1564</v>
      </c>
      <c r="E26" s="35"/>
      <c r="F26" s="35"/>
      <c r="G26" s="5"/>
      <c r="I26" s="13"/>
      <c r="J26" s="13"/>
      <c r="L26" s="5"/>
      <c r="M26" s="5"/>
      <c r="N26" s="5"/>
      <c r="P26" s="13"/>
      <c r="Q26" s="5"/>
      <c r="R26" s="5"/>
      <c r="S26" s="5"/>
      <c r="U26" s="13"/>
      <c r="W26" s="5"/>
      <c r="X26" s="5"/>
    </row>
    <row r="27" spans="1:24" x14ac:dyDescent="0.25">
      <c r="A27" s="13" t="s">
        <v>85</v>
      </c>
      <c r="B27" s="13" t="s">
        <v>136</v>
      </c>
      <c r="C27" s="33">
        <v>2704</v>
      </c>
      <c r="D27" s="33">
        <v>1529</v>
      </c>
      <c r="E27" s="35"/>
      <c r="F27" s="35"/>
      <c r="G27" s="5"/>
      <c r="I27" s="13"/>
      <c r="J27" s="13"/>
      <c r="L27" s="5"/>
      <c r="M27" s="5"/>
      <c r="N27" s="5"/>
      <c r="P27" s="13"/>
      <c r="Q27" s="5"/>
      <c r="R27" s="5"/>
      <c r="S27" s="5"/>
      <c r="U27" s="13"/>
      <c r="W27" s="5"/>
      <c r="X27" s="5"/>
    </row>
    <row r="28" spans="1:24" x14ac:dyDescent="0.25">
      <c r="A28" s="13" t="s">
        <v>81</v>
      </c>
      <c r="B28" s="13" t="s">
        <v>10</v>
      </c>
      <c r="C28" s="33">
        <v>1182</v>
      </c>
      <c r="D28" s="33">
        <v>1519</v>
      </c>
      <c r="E28" s="35"/>
      <c r="F28" s="35"/>
      <c r="G28" s="5"/>
      <c r="I28" s="13"/>
      <c r="J28" s="13"/>
      <c r="L28" s="5"/>
      <c r="M28" s="5"/>
      <c r="N28" s="5"/>
      <c r="P28" s="13"/>
      <c r="Q28" s="5"/>
      <c r="R28" s="5"/>
      <c r="S28" s="5"/>
      <c r="U28" s="13"/>
      <c r="W28" s="5"/>
      <c r="X28" s="5"/>
    </row>
    <row r="29" spans="1:24" x14ac:dyDescent="0.25">
      <c r="A29" s="13" t="s">
        <v>93</v>
      </c>
      <c r="B29" s="13" t="s">
        <v>19</v>
      </c>
      <c r="C29" s="33">
        <v>983</v>
      </c>
      <c r="D29" s="33">
        <v>1494</v>
      </c>
      <c r="E29" s="35"/>
      <c r="F29" s="35"/>
      <c r="G29" s="5"/>
      <c r="I29" s="13"/>
      <c r="J29" s="13"/>
      <c r="L29" s="5"/>
      <c r="M29" s="5"/>
      <c r="N29" s="5"/>
      <c r="P29" s="13"/>
      <c r="Q29" s="5"/>
      <c r="R29" s="5"/>
      <c r="S29" s="5"/>
      <c r="U29" s="13"/>
      <c r="W29" s="5"/>
      <c r="X29" s="5"/>
    </row>
    <row r="30" spans="1:24" x14ac:dyDescent="0.25">
      <c r="A30" s="13" t="s">
        <v>87</v>
      </c>
      <c r="B30" s="13" t="s">
        <v>14</v>
      </c>
      <c r="C30" s="33">
        <v>1332</v>
      </c>
      <c r="D30" s="33">
        <v>1474</v>
      </c>
      <c r="E30" s="35"/>
      <c r="F30" s="35"/>
      <c r="G30" s="5"/>
      <c r="I30" s="13"/>
      <c r="J30" s="13"/>
      <c r="L30" s="5"/>
      <c r="M30" s="5"/>
      <c r="N30" s="5"/>
      <c r="P30" s="13"/>
      <c r="Q30" s="5"/>
      <c r="R30" s="5"/>
      <c r="S30" s="5"/>
      <c r="U30" s="13"/>
      <c r="W30" s="5"/>
      <c r="X30" s="5"/>
    </row>
    <row r="31" spans="1:24" x14ac:dyDescent="0.25">
      <c r="A31" s="13" t="s">
        <v>88</v>
      </c>
      <c r="B31" s="13" t="s">
        <v>15</v>
      </c>
      <c r="C31" s="33">
        <v>1505</v>
      </c>
      <c r="D31" s="33">
        <v>1451</v>
      </c>
      <c r="E31" s="35"/>
      <c r="F31" s="35"/>
      <c r="G31" s="5"/>
      <c r="I31" s="13"/>
      <c r="J31" s="13"/>
      <c r="L31" s="5"/>
      <c r="M31" s="5"/>
      <c r="N31" s="5"/>
      <c r="P31" s="13"/>
      <c r="Q31" s="5"/>
      <c r="R31" s="5"/>
      <c r="S31" s="5"/>
      <c r="U31" s="13"/>
      <c r="W31" s="5"/>
      <c r="X31" s="5"/>
    </row>
    <row r="32" spans="1:24" x14ac:dyDescent="0.25">
      <c r="A32" s="13" t="s">
        <v>100</v>
      </c>
      <c r="B32" s="13" t="s">
        <v>26</v>
      </c>
      <c r="C32" s="33">
        <v>1087</v>
      </c>
      <c r="D32" s="33">
        <v>1370</v>
      </c>
      <c r="E32" s="35"/>
      <c r="F32" s="35"/>
      <c r="G32" s="5"/>
      <c r="I32" s="13"/>
      <c r="J32" s="13"/>
      <c r="L32" s="5"/>
      <c r="M32" s="5"/>
      <c r="N32" s="5"/>
      <c r="P32" s="13"/>
      <c r="Q32" s="5"/>
      <c r="R32" s="5"/>
      <c r="S32" s="5"/>
      <c r="U32" s="13"/>
      <c r="W32" s="5"/>
      <c r="X32" s="5"/>
    </row>
    <row r="33" spans="1:24" x14ac:dyDescent="0.25">
      <c r="A33" s="13" t="s">
        <v>86</v>
      </c>
      <c r="B33" s="13" t="s">
        <v>178</v>
      </c>
      <c r="C33" s="33">
        <v>2016</v>
      </c>
      <c r="D33" s="33">
        <v>1349</v>
      </c>
      <c r="E33" s="35"/>
      <c r="F33" s="35"/>
      <c r="G33" s="5"/>
      <c r="I33" s="13"/>
      <c r="J33" s="13"/>
      <c r="L33" s="5"/>
      <c r="M33" s="5"/>
      <c r="N33" s="5"/>
      <c r="P33" s="13"/>
      <c r="Q33" s="5"/>
      <c r="R33" s="5"/>
      <c r="S33" s="5"/>
      <c r="U33" s="13"/>
      <c r="W33" s="5"/>
      <c r="X33" s="5"/>
    </row>
    <row r="34" spans="1:24" x14ac:dyDescent="0.25">
      <c r="A34" s="13" t="s">
        <v>89</v>
      </c>
      <c r="B34" s="13" t="s">
        <v>16</v>
      </c>
      <c r="C34" s="33">
        <v>716</v>
      </c>
      <c r="D34" s="33">
        <v>1283</v>
      </c>
      <c r="E34" s="35"/>
      <c r="F34" s="35"/>
      <c r="G34" s="5"/>
      <c r="I34" s="13"/>
      <c r="J34" s="13"/>
      <c r="L34" s="5"/>
      <c r="M34" s="5"/>
      <c r="N34" s="5"/>
      <c r="P34" s="13"/>
      <c r="Q34" s="5"/>
      <c r="R34" s="5"/>
      <c r="S34" s="5"/>
      <c r="U34" s="13"/>
      <c r="W34" s="5"/>
      <c r="X34" s="5"/>
    </row>
    <row r="35" spans="1:24" x14ac:dyDescent="0.25">
      <c r="A35" s="13" t="s">
        <v>102</v>
      </c>
      <c r="B35" s="13" t="s">
        <v>28</v>
      </c>
      <c r="C35" s="33">
        <v>1865</v>
      </c>
      <c r="D35" s="33">
        <v>1234</v>
      </c>
      <c r="E35" s="35"/>
      <c r="F35" s="35"/>
      <c r="G35" s="5"/>
      <c r="I35" s="13"/>
      <c r="J35" s="13"/>
      <c r="L35" s="5"/>
      <c r="M35" s="5"/>
      <c r="N35" s="5"/>
      <c r="P35" s="13"/>
      <c r="Q35" s="5"/>
      <c r="R35" s="5"/>
      <c r="S35" s="5"/>
      <c r="U35" s="13"/>
      <c r="W35" s="5"/>
      <c r="X35" s="5"/>
    </row>
    <row r="36" spans="1:24" x14ac:dyDescent="0.25">
      <c r="A36" s="13" t="s">
        <v>96</v>
      </c>
      <c r="B36" s="13" t="s">
        <v>22</v>
      </c>
      <c r="C36" s="33">
        <v>919</v>
      </c>
      <c r="D36" s="33">
        <v>1125</v>
      </c>
      <c r="E36" s="35"/>
      <c r="F36" s="35"/>
      <c r="G36" s="5"/>
      <c r="I36" s="13"/>
      <c r="J36" s="13"/>
      <c r="L36" s="5"/>
      <c r="M36" s="5"/>
      <c r="N36" s="5"/>
      <c r="P36" s="13"/>
      <c r="Q36" s="5"/>
      <c r="R36" s="5"/>
      <c r="S36" s="5"/>
      <c r="U36" s="13"/>
      <c r="W36" s="5"/>
      <c r="X36" s="5"/>
    </row>
    <row r="37" spans="1:24" x14ac:dyDescent="0.25">
      <c r="A37" s="13" t="s">
        <v>92</v>
      </c>
      <c r="B37" s="13" t="s">
        <v>18</v>
      </c>
      <c r="C37" s="33">
        <v>627</v>
      </c>
      <c r="D37" s="33">
        <v>1117</v>
      </c>
      <c r="E37" s="35"/>
      <c r="F37" s="35"/>
      <c r="G37" s="5"/>
      <c r="I37" s="13"/>
      <c r="J37" s="13"/>
      <c r="L37" s="5"/>
      <c r="M37" s="5"/>
      <c r="N37" s="5"/>
      <c r="P37" s="13"/>
      <c r="Q37" s="5"/>
      <c r="R37" s="5"/>
      <c r="S37" s="5"/>
      <c r="U37" s="13"/>
      <c r="W37" s="5"/>
      <c r="X37" s="5"/>
    </row>
    <row r="38" spans="1:24" x14ac:dyDescent="0.25">
      <c r="A38" s="13" t="s">
        <v>101</v>
      </c>
      <c r="B38" s="13" t="s">
        <v>27</v>
      </c>
      <c r="C38" s="33">
        <v>1168</v>
      </c>
      <c r="D38" s="33">
        <v>1102</v>
      </c>
      <c r="E38" s="35"/>
      <c r="F38" s="35"/>
      <c r="G38" s="5"/>
      <c r="I38" s="13"/>
      <c r="J38" s="13"/>
      <c r="L38" s="38"/>
      <c r="M38" s="38"/>
      <c r="N38" s="38"/>
      <c r="P38" s="13"/>
      <c r="Q38" s="5"/>
      <c r="R38" s="5"/>
      <c r="S38" s="5"/>
      <c r="U38" s="13"/>
      <c r="W38" s="5"/>
      <c r="X38" s="5"/>
    </row>
    <row r="39" spans="1:24" x14ac:dyDescent="0.25">
      <c r="A39" s="13"/>
      <c r="B39" s="13"/>
      <c r="C39" s="33"/>
      <c r="D39" s="33"/>
      <c r="E39" s="35"/>
      <c r="F39" s="35"/>
      <c r="G39" s="5"/>
      <c r="I39" s="13"/>
      <c r="J39" s="13"/>
      <c r="L39" s="38"/>
      <c r="M39" s="38"/>
      <c r="N39" s="38"/>
      <c r="P39" s="13"/>
      <c r="Q39" s="5"/>
      <c r="R39" s="5"/>
      <c r="S39" s="5"/>
      <c r="U39" s="13"/>
      <c r="W39" s="5"/>
      <c r="X39" s="5"/>
    </row>
    <row r="40" spans="1:24" x14ac:dyDescent="0.25">
      <c r="A40" s="13" t="s">
        <v>108</v>
      </c>
      <c r="B40" s="13" t="s">
        <v>32</v>
      </c>
      <c r="C40" s="33">
        <v>1687.8203455252401</v>
      </c>
      <c r="D40" s="33">
        <v>1618</v>
      </c>
      <c r="E40" s="35"/>
      <c r="F40" s="35"/>
      <c r="G40" s="5"/>
      <c r="I40" s="13"/>
      <c r="J40" s="13"/>
      <c r="L40" s="5"/>
      <c r="M40" s="5"/>
      <c r="N40" s="5"/>
      <c r="P40" s="13"/>
      <c r="Q40" s="5"/>
      <c r="R40" s="5"/>
      <c r="S40" s="5"/>
      <c r="U40" s="13"/>
      <c r="W40" s="5"/>
      <c r="X40" s="5"/>
    </row>
    <row r="41" spans="1:24" x14ac:dyDescent="0.25">
      <c r="A41" s="13" t="s">
        <v>106</v>
      </c>
      <c r="B41" s="13" t="s">
        <v>179</v>
      </c>
      <c r="C41" s="33">
        <v>1517.1691700126701</v>
      </c>
      <c r="D41" s="33">
        <v>1442</v>
      </c>
      <c r="E41" s="35"/>
      <c r="F41" s="35"/>
      <c r="G41" s="5"/>
      <c r="I41" s="13"/>
      <c r="J41" s="13"/>
      <c r="L41" s="5"/>
      <c r="M41" s="5"/>
      <c r="N41" s="5"/>
      <c r="P41" s="13"/>
      <c r="Q41" s="5"/>
      <c r="R41" s="5"/>
      <c r="S41" s="5"/>
      <c r="U41" s="13"/>
      <c r="W41" s="5"/>
      <c r="X41" s="5"/>
    </row>
    <row r="42" spans="1:24" x14ac:dyDescent="0.25">
      <c r="A42" s="13" t="s">
        <v>107</v>
      </c>
      <c r="B42" s="13" t="s">
        <v>141</v>
      </c>
      <c r="C42" s="33">
        <v>1835.5727055688101</v>
      </c>
      <c r="D42" s="33">
        <v>889</v>
      </c>
      <c r="E42" s="35"/>
      <c r="F42" s="35"/>
      <c r="G42" s="13"/>
      <c r="I42" s="13"/>
      <c r="J42" s="13"/>
      <c r="L42" s="38"/>
      <c r="M42" s="38"/>
      <c r="N42" s="38"/>
      <c r="P42" s="13"/>
      <c r="Q42" s="5"/>
      <c r="R42" s="5"/>
      <c r="S42" s="5"/>
      <c r="U42" s="13"/>
      <c r="W42" s="5"/>
      <c r="X42" s="5"/>
    </row>
    <row r="43" spans="1:24" x14ac:dyDescent="0.25">
      <c r="A43" s="13"/>
      <c r="B43" s="13"/>
      <c r="C43" s="33"/>
      <c r="D43" s="33"/>
      <c r="E43" s="35"/>
      <c r="F43" s="35"/>
      <c r="G43" s="13"/>
      <c r="I43" s="13"/>
      <c r="J43" s="13"/>
      <c r="P43" s="13"/>
      <c r="Q43" s="38"/>
      <c r="R43" s="5"/>
      <c r="S43" s="38"/>
      <c r="U43" s="13"/>
      <c r="W43" s="5"/>
      <c r="X43" s="5"/>
    </row>
    <row r="44" spans="1:24" x14ac:dyDescent="0.25">
      <c r="A44" s="13" t="s">
        <v>111</v>
      </c>
      <c r="B44" s="6" t="s">
        <v>35</v>
      </c>
      <c r="C44" s="33">
        <v>963.37209844535403</v>
      </c>
      <c r="D44" s="33">
        <v>1680</v>
      </c>
      <c r="E44" s="35"/>
      <c r="F44" s="35"/>
      <c r="G44" s="13"/>
      <c r="I44" s="13"/>
      <c r="J44" s="13"/>
      <c r="P44" s="13"/>
      <c r="Q44" s="38"/>
      <c r="R44" s="5"/>
      <c r="S44" s="38"/>
      <c r="U44" s="13"/>
      <c r="W44" s="5"/>
      <c r="X44" s="5"/>
    </row>
    <row r="45" spans="1:24" x14ac:dyDescent="0.25">
      <c r="A45" s="13" t="s">
        <v>109</v>
      </c>
      <c r="B45" s="13" t="s">
        <v>181</v>
      </c>
      <c r="C45" s="33" t="s">
        <v>36</v>
      </c>
      <c r="D45" s="33">
        <v>1164</v>
      </c>
      <c r="E45" s="35"/>
      <c r="F45" s="35"/>
      <c r="G45" s="13"/>
      <c r="I45" s="13"/>
      <c r="J45" s="13"/>
      <c r="P45" s="13"/>
      <c r="Q45" s="38"/>
      <c r="R45" s="5"/>
      <c r="S45" s="38"/>
      <c r="U45" s="13"/>
      <c r="W45" s="5"/>
      <c r="X45" s="5"/>
    </row>
    <row r="46" spans="1:24" x14ac:dyDescent="0.25">
      <c r="A46" s="13" t="s">
        <v>112</v>
      </c>
      <c r="B46" s="13" t="s">
        <v>139</v>
      </c>
      <c r="C46" s="33" t="s">
        <v>36</v>
      </c>
      <c r="D46" s="33">
        <v>946</v>
      </c>
      <c r="E46" s="35"/>
      <c r="F46" s="35"/>
      <c r="G46" s="13"/>
      <c r="I46" s="13"/>
      <c r="J46" s="13"/>
      <c r="P46" s="13"/>
      <c r="Q46" s="38"/>
      <c r="R46" s="5"/>
      <c r="S46" s="38"/>
      <c r="U46" s="13"/>
      <c r="W46" s="5"/>
      <c r="X46" s="5"/>
    </row>
    <row r="47" spans="1:24" x14ac:dyDescent="0.25">
      <c r="A47" s="13" t="s">
        <v>110</v>
      </c>
      <c r="B47" s="13" t="s">
        <v>34</v>
      </c>
      <c r="C47" s="33">
        <v>713.55126975483699</v>
      </c>
      <c r="D47" s="33">
        <v>712</v>
      </c>
      <c r="E47" s="35"/>
      <c r="F47" s="35"/>
      <c r="G47" s="13"/>
      <c r="I47" s="13"/>
      <c r="J47" s="13"/>
      <c r="P47" s="13"/>
      <c r="Q47" s="38"/>
      <c r="R47" s="5"/>
      <c r="S47" s="38"/>
      <c r="U47" s="13"/>
      <c r="W47" s="5"/>
      <c r="X47" s="5"/>
    </row>
    <row r="48" spans="1:24" x14ac:dyDescent="0.25">
      <c r="A48" s="13"/>
      <c r="B48" s="13"/>
      <c r="C48" s="33"/>
      <c r="D48" s="33"/>
      <c r="E48" s="35"/>
      <c r="F48" s="35"/>
      <c r="G48" s="13"/>
      <c r="I48" s="13"/>
      <c r="J48" s="13"/>
      <c r="P48" s="13"/>
      <c r="Q48" s="38"/>
      <c r="R48" s="5"/>
      <c r="U48" s="13"/>
      <c r="W48" s="38"/>
      <c r="X48" s="5"/>
    </row>
    <row r="49" spans="1:24" x14ac:dyDescent="0.25">
      <c r="A49" s="13" t="s">
        <v>145</v>
      </c>
      <c r="B49" s="13" t="s">
        <v>195</v>
      </c>
      <c r="C49" s="33" t="s">
        <v>36</v>
      </c>
      <c r="D49" s="33">
        <v>180</v>
      </c>
      <c r="E49" s="35"/>
      <c r="F49" s="35"/>
      <c r="G49" s="13"/>
      <c r="I49" s="13"/>
      <c r="J49" s="13"/>
      <c r="P49" s="13"/>
      <c r="Q49" s="38"/>
      <c r="R49" s="5"/>
      <c r="U49" s="13"/>
      <c r="W49" s="38"/>
      <c r="X49" s="5"/>
    </row>
    <row r="50" spans="1:24" ht="25" x14ac:dyDescent="0.25">
      <c r="A50" s="13" t="s">
        <v>113</v>
      </c>
      <c r="B50" s="37" t="s">
        <v>180</v>
      </c>
      <c r="C50" s="33" t="s">
        <v>36</v>
      </c>
      <c r="D50" s="33">
        <v>1642</v>
      </c>
      <c r="E50" s="35"/>
      <c r="F50" s="5"/>
      <c r="G50" s="13"/>
      <c r="I50" s="13"/>
      <c r="J50" s="13"/>
      <c r="P50" s="5"/>
      <c r="R50" s="5"/>
      <c r="U50" s="13"/>
      <c r="X50" s="38"/>
    </row>
    <row r="51" spans="1:24" x14ac:dyDescent="0.25">
      <c r="A51" s="6" t="s">
        <v>114</v>
      </c>
      <c r="B51" s="68" t="s">
        <v>196</v>
      </c>
      <c r="C51" s="33" t="s">
        <v>36</v>
      </c>
      <c r="D51" s="33">
        <v>1414</v>
      </c>
      <c r="E51" s="5"/>
      <c r="F51" s="5"/>
      <c r="G51" s="13"/>
      <c r="H51" s="6">
        <v>3</v>
      </c>
      <c r="I51" s="13"/>
      <c r="J51" s="13"/>
      <c r="P51" s="5"/>
      <c r="R51" s="5"/>
      <c r="U51" s="13"/>
      <c r="X51" s="38"/>
    </row>
    <row r="52" spans="1:24" x14ac:dyDescent="0.25">
      <c r="B52" s="68"/>
      <c r="C52" s="33"/>
      <c r="D52" s="33"/>
      <c r="E52" s="5"/>
      <c r="F52" s="5"/>
      <c r="G52" s="13"/>
      <c r="I52" s="13"/>
      <c r="J52" s="13"/>
      <c r="P52" s="5"/>
      <c r="R52" s="5"/>
      <c r="U52" s="13"/>
      <c r="X52" s="38"/>
    </row>
    <row r="53" spans="1:24" x14ac:dyDescent="0.25">
      <c r="A53" s="5"/>
      <c r="B53" s="13"/>
      <c r="C53" s="33"/>
      <c r="D53" s="33"/>
      <c r="E53" s="5"/>
      <c r="F53" s="5"/>
      <c r="G53" s="13"/>
      <c r="I53" s="13"/>
      <c r="J53" s="13"/>
      <c r="P53" s="5"/>
      <c r="R53" s="5"/>
      <c r="U53" s="13"/>
      <c r="X53" s="38"/>
    </row>
    <row r="54" spans="1:24" ht="14.5" customHeight="1" x14ac:dyDescent="0.25">
      <c r="A54" s="71" t="s">
        <v>205</v>
      </c>
      <c r="B54" s="68"/>
      <c r="C54" s="33"/>
      <c r="D54" s="33"/>
      <c r="E54" s="5"/>
      <c r="G54" s="13"/>
      <c r="I54" s="13"/>
      <c r="J54" s="13"/>
      <c r="P54" s="5"/>
      <c r="R54" s="5"/>
      <c r="U54" s="13"/>
      <c r="X54" s="38"/>
    </row>
    <row r="55" spans="1:24" ht="14.5" customHeight="1" x14ac:dyDescent="0.25">
      <c r="A55" s="6" t="s">
        <v>192</v>
      </c>
      <c r="B55" s="5"/>
      <c r="C55" s="5"/>
      <c r="D55" s="5"/>
      <c r="E55" s="5"/>
      <c r="G55" s="13"/>
      <c r="I55" s="13"/>
      <c r="J55" s="13"/>
      <c r="P55" s="5"/>
      <c r="R55" s="5"/>
      <c r="U55" s="13"/>
      <c r="X55" s="38"/>
    </row>
    <row r="56" spans="1:24" ht="13" x14ac:dyDescent="0.25">
      <c r="A56" s="26" t="s">
        <v>204</v>
      </c>
      <c r="B56" s="5"/>
      <c r="C56" s="5"/>
      <c r="D56" s="5"/>
      <c r="E56" s="13"/>
      <c r="P56" s="26"/>
      <c r="R56" s="26"/>
    </row>
    <row r="57" spans="1:24" ht="13" x14ac:dyDescent="0.25">
      <c r="B57" s="26"/>
      <c r="C57" s="5"/>
      <c r="D57" s="5"/>
      <c r="E57" s="13"/>
      <c r="P57" s="26"/>
      <c r="R57" s="26"/>
    </row>
    <row r="58" spans="1:24" ht="13" x14ac:dyDescent="0.25">
      <c r="B58" s="26"/>
      <c r="C58" s="5"/>
      <c r="D58" s="5"/>
      <c r="E58" s="13"/>
      <c r="F58" s="5"/>
      <c r="P58" s="26"/>
    </row>
    <row r="59" spans="1:24" x14ac:dyDescent="0.25">
      <c r="B59" s="13"/>
      <c r="C59" s="13"/>
      <c r="D59" s="13"/>
      <c r="E59" s="13"/>
      <c r="F59" s="13"/>
    </row>
    <row r="60" spans="1:24" x14ac:dyDescent="0.25">
      <c r="B60" s="13"/>
      <c r="C60" s="35"/>
      <c r="D60" s="13"/>
      <c r="E60" s="35"/>
    </row>
    <row r="67" spans="8:8" x14ac:dyDescent="0.25">
      <c r="H67" s="6" t="s">
        <v>61</v>
      </c>
    </row>
  </sheetData>
  <sortState xmlns:xlrd2="http://schemas.microsoft.com/office/spreadsheetml/2017/richdata2" ref="A12:D38">
    <sortCondition descending="1" ref="D12:D38"/>
  </sortState>
  <pageMargins left="0.75" right="0.75" top="1" bottom="1" header="0.51180555555555496" footer="0.51180555555555496"/>
  <pageSetup paperSize="9" firstPageNumber="0" orientation="portrait" verticalDpi="0" r:id="rId1"/>
  <rowBreaks count="1" manualBreakCount="1">
    <brk id="3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MM20"/>
  <sheetViews>
    <sheetView showGridLines="0" zoomScaleNormal="100" workbookViewId="0">
      <selection activeCell="M10" sqref="M10"/>
    </sheetView>
  </sheetViews>
  <sheetFormatPr defaultColWidth="9.09765625" defaultRowHeight="12.5" x14ac:dyDescent="0.25"/>
  <cols>
    <col min="1" max="1" width="9.09765625" style="6"/>
    <col min="2" max="2" width="34.296875" style="6" customWidth="1"/>
    <col min="3" max="12" width="10.8984375" style="6" customWidth="1"/>
    <col min="13" max="13" width="11.09765625" style="6" customWidth="1"/>
    <col min="14" max="1027" width="9.09765625" style="6"/>
    <col min="1028" max="16384" width="9.09765625" style="5"/>
  </cols>
  <sheetData>
    <row r="1" spans="1:1026" ht="13" x14ac:dyDescent="0.25">
      <c r="A1" s="5"/>
      <c r="B1" s="1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"/>
      <c r="W1" s="1"/>
      <c r="X1" s="1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</row>
    <row r="2" spans="1:1026" x14ac:dyDescent="0.25"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026" s="177" customFormat="1" ht="15.5" x14ac:dyDescent="0.25">
      <c r="B3" s="209" t="s">
        <v>162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1:1026" ht="14" x14ac:dyDescent="0.25">
      <c r="A4" s="5"/>
      <c r="B4" s="207" t="s">
        <v>51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</row>
    <row r="5" spans="1:1026" x14ac:dyDescent="0.25">
      <c r="A5" s="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</row>
    <row r="6" spans="1:1026" ht="39.75" customHeight="1" x14ac:dyDescent="0.25">
      <c r="A6" s="5"/>
      <c r="B6" s="192"/>
      <c r="C6" s="202">
        <v>2004</v>
      </c>
      <c r="D6" s="193">
        <v>2006</v>
      </c>
      <c r="E6" s="192">
        <v>2008</v>
      </c>
      <c r="F6" s="192">
        <v>2010</v>
      </c>
      <c r="G6" s="192">
        <v>2012</v>
      </c>
      <c r="H6" s="192">
        <v>2014</v>
      </c>
      <c r="I6" s="192">
        <v>2016</v>
      </c>
      <c r="J6" s="192">
        <v>2018</v>
      </c>
      <c r="K6" s="192">
        <v>2020</v>
      </c>
      <c r="L6" s="199">
        <v>2022</v>
      </c>
      <c r="M6" s="181" t="s">
        <v>161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1026" ht="13" x14ac:dyDescent="0.25">
      <c r="A7" s="5"/>
      <c r="B7" s="200" t="s">
        <v>48</v>
      </c>
      <c r="C7" s="203">
        <v>779.48</v>
      </c>
      <c r="D7" s="201">
        <v>789.89</v>
      </c>
      <c r="E7" s="201">
        <v>760.46999999999991</v>
      </c>
      <c r="F7" s="201">
        <v>758.66881799999999</v>
      </c>
      <c r="G7" s="201">
        <v>758.26833999999997</v>
      </c>
      <c r="H7" s="201">
        <v>769.00847294000005</v>
      </c>
      <c r="I7" s="201">
        <v>784.61508515000003</v>
      </c>
      <c r="J7" s="201">
        <v>812.93</v>
      </c>
      <c r="K7" s="201">
        <v>776.29</v>
      </c>
      <c r="L7" s="201">
        <v>794.9</v>
      </c>
      <c r="M7" s="185">
        <f>((L7-C7)/C7)*100</f>
        <v>1.9782419048596449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38"/>
      <c r="Z7" s="5"/>
      <c r="AA7" s="38"/>
      <c r="AB7" s="5"/>
      <c r="AC7" s="5"/>
      <c r="AD7" s="5"/>
      <c r="AE7" s="5"/>
    </row>
    <row r="8" spans="1:1026" ht="12" customHeight="1" x14ac:dyDescent="0.25">
      <c r="A8" s="57"/>
      <c r="B8" s="149" t="s">
        <v>39</v>
      </c>
      <c r="C8" s="184">
        <v>62.34</v>
      </c>
      <c r="D8" s="183">
        <v>56.69</v>
      </c>
      <c r="E8" s="183">
        <v>45.52</v>
      </c>
      <c r="F8" s="183">
        <v>20.220697999999999</v>
      </c>
      <c r="G8" s="183">
        <v>20.428802999999998</v>
      </c>
      <c r="H8" s="183">
        <v>17.709585708000002</v>
      </c>
      <c r="I8" s="183">
        <v>19.71202486</v>
      </c>
      <c r="J8" s="183">
        <v>19.420000000000002</v>
      </c>
      <c r="K8" s="183">
        <v>20.73</v>
      </c>
      <c r="L8" s="183">
        <v>22.27</v>
      </c>
      <c r="M8" s="184">
        <f>((L8-C8)/C8)*100</f>
        <v>-64.276547962784733</v>
      </c>
      <c r="N8" s="79"/>
      <c r="O8" s="5"/>
      <c r="P8" s="36"/>
      <c r="Q8" s="36"/>
      <c r="R8" s="36"/>
      <c r="S8" s="36"/>
      <c r="T8" s="36"/>
      <c r="U8" s="36"/>
      <c r="V8" s="36"/>
      <c r="W8" s="5"/>
      <c r="X8" s="68"/>
      <c r="Y8" s="38"/>
      <c r="Z8" s="5"/>
      <c r="AA8" s="5"/>
      <c r="AB8" s="5"/>
      <c r="AC8" s="5"/>
      <c r="AD8" s="5"/>
      <c r="AE8" s="5"/>
    </row>
    <row r="9" spans="1:1026" ht="12" customHeight="1" x14ac:dyDescent="0.25">
      <c r="A9" s="57"/>
      <c r="B9" s="80" t="s">
        <v>2</v>
      </c>
      <c r="C9" s="82">
        <v>10.43</v>
      </c>
      <c r="D9" s="81">
        <v>7.06</v>
      </c>
      <c r="E9" s="81">
        <v>9.99</v>
      </c>
      <c r="F9" s="81">
        <v>7.8552369999999998</v>
      </c>
      <c r="G9" s="81">
        <v>7.5135500000000004</v>
      </c>
      <c r="H9" s="81">
        <v>7.6861335799999999</v>
      </c>
      <c r="I9" s="81">
        <v>6.9156910700000003</v>
      </c>
      <c r="J9" s="81">
        <v>8.07</v>
      </c>
      <c r="K9" s="81">
        <v>7.48</v>
      </c>
      <c r="L9" s="81">
        <v>8.0299999999999994</v>
      </c>
      <c r="M9" s="82">
        <f>((L9-C9)/C9)*100</f>
        <v>-23.010546500479389</v>
      </c>
      <c r="N9" s="79"/>
      <c r="O9" s="5"/>
      <c r="P9" s="36"/>
      <c r="Q9" s="36"/>
      <c r="R9" s="36"/>
      <c r="S9" s="36"/>
      <c r="T9" s="36"/>
      <c r="U9" s="36"/>
      <c r="V9" s="36"/>
      <c r="W9" s="38"/>
      <c r="X9" s="68"/>
      <c r="Y9" s="38"/>
      <c r="Z9" s="5"/>
      <c r="AA9" s="5"/>
      <c r="AB9" s="5"/>
      <c r="AC9" s="5"/>
      <c r="AD9" s="5"/>
      <c r="AE9" s="5"/>
    </row>
    <row r="10" spans="1:1026" ht="12" customHeight="1" x14ac:dyDescent="0.25">
      <c r="A10" s="57"/>
      <c r="B10" s="83" t="s">
        <v>40</v>
      </c>
      <c r="C10" s="82">
        <v>239.87</v>
      </c>
      <c r="D10" s="81">
        <v>225.84</v>
      </c>
      <c r="E10" s="81">
        <v>216.82</v>
      </c>
      <c r="F10" s="81">
        <v>190.516254</v>
      </c>
      <c r="G10" s="81">
        <v>176.42823799999999</v>
      </c>
      <c r="H10" s="81">
        <v>175.96204567199999</v>
      </c>
      <c r="I10" s="81">
        <v>178.95675896</v>
      </c>
      <c r="J10" s="81">
        <v>179.78</v>
      </c>
      <c r="K10" s="81">
        <v>166.61</v>
      </c>
      <c r="L10" s="81">
        <v>166.32</v>
      </c>
      <c r="M10" s="82">
        <f t="shared" ref="M10:M15" si="0">((L10-C10)/C10)*100</f>
        <v>-30.662442156167931</v>
      </c>
      <c r="N10" s="79"/>
      <c r="O10" s="5"/>
      <c r="P10" s="36"/>
      <c r="Q10" s="36"/>
      <c r="R10" s="36"/>
      <c r="S10" s="36"/>
      <c r="T10" s="36"/>
      <c r="U10" s="36"/>
      <c r="V10" s="36"/>
      <c r="W10" s="38"/>
      <c r="X10" s="84"/>
      <c r="Y10" s="38"/>
      <c r="Z10" s="5"/>
      <c r="AA10" s="38"/>
      <c r="AB10" s="5"/>
      <c r="AC10" s="5"/>
      <c r="AD10" s="5"/>
      <c r="AE10" s="5"/>
    </row>
    <row r="11" spans="1:1026" ht="12" customHeight="1" x14ac:dyDescent="0.25">
      <c r="A11" s="57"/>
      <c r="B11" s="80" t="s">
        <v>4</v>
      </c>
      <c r="C11" s="82">
        <v>85.44</v>
      </c>
      <c r="D11" s="81">
        <v>93.28</v>
      </c>
      <c r="E11" s="81">
        <v>84.09</v>
      </c>
      <c r="F11" s="81">
        <v>78.619502999999995</v>
      </c>
      <c r="G11" s="81">
        <v>88.775109999999998</v>
      </c>
      <c r="H11" s="81">
        <v>87.358897638000002</v>
      </c>
      <c r="I11" s="81">
        <v>74.677824639999997</v>
      </c>
      <c r="J11" s="81">
        <v>75.73</v>
      </c>
      <c r="K11" s="81">
        <v>45.72</v>
      </c>
      <c r="L11" s="81">
        <v>58.99</v>
      </c>
      <c r="M11" s="82">
        <f t="shared" si="0"/>
        <v>-30.957397003745314</v>
      </c>
      <c r="N11" s="79"/>
      <c r="O11" s="5"/>
      <c r="P11" s="36"/>
      <c r="Q11" s="36"/>
      <c r="R11" s="36"/>
      <c r="S11" s="36"/>
      <c r="T11" s="36"/>
      <c r="U11" s="36"/>
      <c r="V11" s="36"/>
      <c r="W11" s="84"/>
      <c r="X11" s="68"/>
      <c r="Y11" s="38"/>
      <c r="Z11" s="5"/>
      <c r="AA11" s="38"/>
      <c r="AB11" s="5"/>
      <c r="AC11" s="5"/>
      <c r="AD11" s="5"/>
      <c r="AE11" s="5"/>
    </row>
    <row r="12" spans="1:1026" ht="12" customHeight="1" x14ac:dyDescent="0.25">
      <c r="A12" s="57"/>
      <c r="B12" s="80" t="s">
        <v>52</v>
      </c>
      <c r="C12" s="82">
        <v>75.239999999999995</v>
      </c>
      <c r="D12" s="81">
        <v>83.28</v>
      </c>
      <c r="E12" s="81">
        <v>98.87</v>
      </c>
      <c r="F12" s="81">
        <v>129.87152900000001</v>
      </c>
      <c r="G12" s="81">
        <v>155.041628</v>
      </c>
      <c r="H12" s="81">
        <v>180.70473821499999</v>
      </c>
      <c r="I12" s="81">
        <v>196.82030452999999</v>
      </c>
      <c r="J12" s="81">
        <v>208.52</v>
      </c>
      <c r="K12" s="81">
        <v>212.39</v>
      </c>
      <c r="L12" s="81">
        <v>216.06</v>
      </c>
      <c r="M12" s="82">
        <f t="shared" si="0"/>
        <v>187.16108452950559</v>
      </c>
      <c r="N12" s="79"/>
      <c r="O12" s="5"/>
      <c r="P12" s="36"/>
      <c r="Q12" s="36"/>
      <c r="R12" s="36"/>
      <c r="S12" s="36"/>
      <c r="T12" s="36"/>
      <c r="U12" s="36"/>
      <c r="V12" s="36"/>
      <c r="W12" s="5"/>
      <c r="X12" s="68"/>
      <c r="Y12" s="38"/>
      <c r="Z12" s="5"/>
      <c r="AA12" s="5"/>
      <c r="AB12" s="5"/>
      <c r="AC12" s="5"/>
      <c r="AD12" s="5"/>
      <c r="AE12" s="5"/>
    </row>
    <row r="13" spans="1:1026" ht="13" x14ac:dyDescent="0.25">
      <c r="A13" s="57"/>
      <c r="B13" s="80" t="s">
        <v>42</v>
      </c>
      <c r="C13" s="82">
        <v>34.4</v>
      </c>
      <c r="D13" s="81">
        <v>33.369999999999997</v>
      </c>
      <c r="E13" s="81">
        <v>34.79</v>
      </c>
      <c r="F13" s="81">
        <v>42.102556999999997</v>
      </c>
      <c r="G13" s="81">
        <v>39.781844999999997</v>
      </c>
      <c r="H13" s="81">
        <v>38.601686542000003</v>
      </c>
      <c r="I13" s="81">
        <v>37.795943130000005</v>
      </c>
      <c r="J13" s="81">
        <v>41.31</v>
      </c>
      <c r="K13" s="81">
        <v>38.69</v>
      </c>
      <c r="L13" s="85">
        <v>39.76</v>
      </c>
      <c r="M13" s="82">
        <f t="shared" si="0"/>
        <v>15.581395348837207</v>
      </c>
      <c r="N13" s="79"/>
      <c r="O13" s="5"/>
      <c r="P13" s="36"/>
      <c r="Q13" s="36"/>
      <c r="R13" s="36"/>
      <c r="S13" s="36"/>
      <c r="T13" s="36"/>
      <c r="U13" s="36"/>
      <c r="V13" s="36"/>
      <c r="W13" s="38"/>
      <c r="X13" s="68"/>
      <c r="Y13" s="38"/>
      <c r="Z13" s="5"/>
      <c r="AA13" s="5"/>
      <c r="AB13" s="5"/>
      <c r="AC13" s="5"/>
      <c r="AD13" s="5"/>
      <c r="AE13" s="5"/>
    </row>
    <row r="14" spans="1:1026" ht="13" x14ac:dyDescent="0.25">
      <c r="A14" s="57"/>
      <c r="B14" s="80" t="s">
        <v>53</v>
      </c>
      <c r="C14" s="82">
        <v>97.69</v>
      </c>
      <c r="D14" s="81">
        <f t="shared" ref="D14:I14" si="1">D7-(D8+D9+D10+D11+D12+D13+D15)</f>
        <v>111.21000000000004</v>
      </c>
      <c r="E14" s="81">
        <f t="shared" si="1"/>
        <v>88.749999999999886</v>
      </c>
      <c r="F14" s="81">
        <f t="shared" si="1"/>
        <v>103.50304000000006</v>
      </c>
      <c r="G14" s="81">
        <f t="shared" si="1"/>
        <v>89.589165999999977</v>
      </c>
      <c r="H14" s="81">
        <f t="shared" si="1"/>
        <v>85.115385585000013</v>
      </c>
      <c r="I14" s="81">
        <f t="shared" si="1"/>
        <v>88.530080810000072</v>
      </c>
      <c r="J14" s="81">
        <v>94.03</v>
      </c>
      <c r="K14" s="81">
        <v>88.99</v>
      </c>
      <c r="L14" s="81">
        <v>90.879999999999967</v>
      </c>
      <c r="M14" s="82">
        <f t="shared" si="0"/>
        <v>-6.9710308117514899</v>
      </c>
      <c r="N14" s="79"/>
      <c r="O14" s="5"/>
      <c r="P14" s="36"/>
      <c r="Q14" s="36"/>
      <c r="R14" s="36"/>
      <c r="S14" s="36"/>
      <c r="T14" s="36"/>
      <c r="U14" s="36"/>
      <c r="V14" s="36"/>
      <c r="W14" s="38"/>
      <c r="X14" s="68"/>
      <c r="Y14" s="5"/>
      <c r="Z14" s="5"/>
      <c r="AA14" s="5"/>
      <c r="AB14" s="5"/>
      <c r="AC14" s="5"/>
      <c r="AD14" s="5"/>
      <c r="AE14" s="5"/>
    </row>
    <row r="15" spans="1:1026" ht="13" x14ac:dyDescent="0.25">
      <c r="A15" s="57"/>
      <c r="B15" s="17" t="s">
        <v>7</v>
      </c>
      <c r="C15" s="87">
        <v>174.07</v>
      </c>
      <c r="D15" s="86">
        <v>179.16</v>
      </c>
      <c r="E15" s="86">
        <v>181.64</v>
      </c>
      <c r="F15" s="86">
        <v>185.98</v>
      </c>
      <c r="G15" s="86">
        <v>180.71</v>
      </c>
      <c r="H15" s="86">
        <v>175.87</v>
      </c>
      <c r="I15" s="86">
        <v>181.20645715000001</v>
      </c>
      <c r="J15" s="86">
        <v>186.07</v>
      </c>
      <c r="K15" s="86">
        <v>195.69</v>
      </c>
      <c r="L15" s="86">
        <v>192.59</v>
      </c>
      <c r="M15" s="87">
        <f t="shared" si="0"/>
        <v>10.639397943356126</v>
      </c>
      <c r="N15" s="79"/>
      <c r="O15" s="5"/>
      <c r="P15" s="36"/>
      <c r="Q15" s="36"/>
      <c r="R15" s="36"/>
      <c r="S15" s="36"/>
      <c r="T15" s="36"/>
      <c r="U15" s="36"/>
      <c r="V15" s="36"/>
      <c r="W15" s="5"/>
      <c r="X15" s="5"/>
      <c r="Y15" s="5"/>
      <c r="Z15" s="5"/>
      <c r="AA15" s="5"/>
      <c r="AB15" s="5"/>
      <c r="AC15" s="5"/>
      <c r="AD15" s="5"/>
      <c r="AE15" s="5"/>
    </row>
    <row r="16" spans="1:1026" ht="15" customHeigh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3"/>
      <c r="P16" s="13"/>
      <c r="Q16" s="13"/>
      <c r="R16" s="13"/>
      <c r="S16" s="13"/>
      <c r="T16" s="13"/>
      <c r="U16" s="13"/>
      <c r="V16" s="26"/>
      <c r="W16" s="88"/>
      <c r="X16" s="26"/>
      <c r="Y16" s="5"/>
      <c r="Z16" s="5"/>
      <c r="AA16" s="5"/>
      <c r="AB16" s="5"/>
      <c r="AC16" s="5"/>
      <c r="AD16" s="5"/>
      <c r="AE16" s="5"/>
    </row>
    <row r="17" spans="2:31" ht="13" x14ac:dyDescent="0.3">
      <c r="B17" s="210" t="s">
        <v>174</v>
      </c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5"/>
      <c r="O17" s="13"/>
      <c r="P17" s="13"/>
      <c r="Q17" s="13"/>
      <c r="R17" s="13"/>
      <c r="S17" s="13"/>
      <c r="T17" s="13"/>
      <c r="U17" s="13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2:31" x14ac:dyDescent="0.25">
      <c r="J18" s="12"/>
      <c r="K18" s="12"/>
      <c r="L18" s="12"/>
    </row>
    <row r="20" spans="2:31" ht="13" x14ac:dyDescent="0.25">
      <c r="B20" s="41"/>
    </row>
  </sheetData>
  <mergeCells count="3">
    <mergeCell ref="B3:M3"/>
    <mergeCell ref="B4:M4"/>
    <mergeCell ref="B17:M17"/>
  </mergeCells>
  <pageMargins left="0.75" right="0.75" top="1" bottom="1" header="0.51180555555555496" footer="0.51180555555555496"/>
  <pageSetup paperSize="9" firstPageNumber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ML268"/>
  <sheetViews>
    <sheetView showGridLines="0" topLeftCell="A3" zoomScaleNormal="100" workbookViewId="0">
      <selection activeCell="F11" sqref="F11"/>
    </sheetView>
  </sheetViews>
  <sheetFormatPr defaultColWidth="9.09765625" defaultRowHeight="12.5" x14ac:dyDescent="0.25"/>
  <cols>
    <col min="1" max="2" width="9.09765625" style="6"/>
    <col min="3" max="3" width="24.8984375" style="6" customWidth="1"/>
    <col min="4" max="5" width="8.69921875" style="6" customWidth="1"/>
    <col min="6" max="6" width="20.09765625" style="6" customWidth="1"/>
    <col min="7" max="9" width="9.09765625" style="6"/>
    <col min="10" max="10" width="12.09765625" style="6" customWidth="1"/>
    <col min="11" max="11" width="14.296875" style="6" customWidth="1"/>
    <col min="12" max="18" width="9.09765625" style="6"/>
    <col min="19" max="19" width="10" style="6" customWidth="1"/>
    <col min="20" max="1026" width="9.09765625" style="6"/>
    <col min="1027" max="16384" width="9.09765625" style="5"/>
  </cols>
  <sheetData>
    <row r="1" spans="1:1025" ht="13" x14ac:dyDescent="0.25">
      <c r="A1" s="32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</row>
    <row r="2" spans="1:1025" ht="13" x14ac:dyDescent="0.25">
      <c r="A2" s="42"/>
      <c r="C2" s="5"/>
      <c r="D2" s="5"/>
      <c r="E2" s="5"/>
      <c r="F2" s="89"/>
      <c r="G2" s="177"/>
      <c r="H2" s="5"/>
      <c r="I2" s="5"/>
      <c r="J2" s="5"/>
      <c r="K2" s="5"/>
      <c r="L2" s="5"/>
      <c r="M2" s="1"/>
      <c r="N2" s="1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5" ht="13" x14ac:dyDescent="0.25">
      <c r="A3" s="5"/>
      <c r="B3" s="5"/>
      <c r="C3" s="1" t="s">
        <v>0</v>
      </c>
      <c r="D3" s="5"/>
      <c r="E3" s="5"/>
      <c r="F3" s="5"/>
      <c r="G3" s="175"/>
      <c r="H3" s="1"/>
      <c r="I3" s="5"/>
      <c r="J3" s="5"/>
      <c r="K3" s="5"/>
      <c r="L3" s="5"/>
      <c r="M3" s="1"/>
      <c r="N3" s="1"/>
      <c r="O3" s="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</row>
    <row r="4" spans="1:1025" ht="13" x14ac:dyDescent="0.25">
      <c r="A4" s="5"/>
      <c r="B4" s="5"/>
      <c r="C4" s="1" t="s">
        <v>1</v>
      </c>
      <c r="D4" s="5"/>
      <c r="E4" s="5"/>
      <c r="F4" s="5"/>
      <c r="G4" s="175"/>
      <c r="H4" s="175"/>
      <c r="I4" s="5"/>
      <c r="J4" s="5"/>
      <c r="K4" s="5"/>
      <c r="L4" s="5"/>
      <c r="M4" s="1"/>
      <c r="N4" s="1"/>
      <c r="O4" s="1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</row>
    <row r="5" spans="1:1025" ht="13" x14ac:dyDescent="0.25">
      <c r="A5" s="7"/>
      <c r="B5" s="5"/>
      <c r="C5" s="177" t="s">
        <v>160</v>
      </c>
      <c r="D5" s="5"/>
      <c r="E5" s="5"/>
      <c r="F5" s="5"/>
      <c r="H5" s="5"/>
      <c r="N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</row>
    <row r="6" spans="1:1025" s="177" customFormat="1" ht="13" x14ac:dyDescent="0.25">
      <c r="A6" s="8"/>
      <c r="C6" s="175" t="s">
        <v>77</v>
      </c>
    </row>
    <row r="7" spans="1:1025" ht="20" x14ac:dyDescent="0.25">
      <c r="A7" s="7"/>
      <c r="B7" s="5"/>
      <c r="C7" s="175"/>
      <c r="D7" s="175"/>
      <c r="E7" s="175"/>
      <c r="F7" s="175"/>
      <c r="G7" s="190"/>
      <c r="H7" s="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</row>
    <row r="8" spans="1:1025" x14ac:dyDescent="0.25">
      <c r="A8" s="7"/>
      <c r="B8" s="5"/>
      <c r="C8" s="5"/>
      <c r="D8" s="5"/>
      <c r="E8" s="36"/>
      <c r="F8" s="36"/>
      <c r="G8" s="175"/>
      <c r="H8" s="175"/>
      <c r="M8" s="5"/>
      <c r="N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</row>
    <row r="9" spans="1:1025" ht="13" x14ac:dyDescent="0.25">
      <c r="A9" s="7"/>
      <c r="B9" s="5"/>
      <c r="D9" s="1"/>
      <c r="E9" s="1"/>
      <c r="F9" s="1"/>
      <c r="G9" s="1"/>
      <c r="H9" s="1"/>
      <c r="I9" s="90"/>
      <c r="J9" s="90"/>
      <c r="K9" s="90"/>
      <c r="L9" s="90"/>
      <c r="N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</row>
    <row r="10" spans="1:1025" s="10" customFormat="1" ht="13" x14ac:dyDescent="0.25">
      <c r="A10" s="9"/>
      <c r="B10" s="175"/>
      <c r="D10" s="28">
        <v>2010</v>
      </c>
      <c r="E10" s="28">
        <v>2022</v>
      </c>
      <c r="F10" s="28"/>
      <c r="G10" s="179"/>
      <c r="H10" s="179"/>
      <c r="I10" s="178"/>
      <c r="J10" s="178"/>
      <c r="K10" s="178"/>
      <c r="L10" s="178"/>
      <c r="M10" s="6"/>
      <c r="N10" s="6"/>
      <c r="O10" s="6"/>
    </row>
    <row r="11" spans="1:1025" ht="13" x14ac:dyDescent="0.25">
      <c r="A11" s="7" t="s">
        <v>84</v>
      </c>
      <c r="B11" s="5" t="s">
        <v>84</v>
      </c>
      <c r="C11" s="6" t="s">
        <v>13</v>
      </c>
      <c r="D11" s="25">
        <v>47.166400134314415</v>
      </c>
      <c r="E11" s="25">
        <v>6.7449343033983684</v>
      </c>
      <c r="F11" s="25"/>
      <c r="G11" s="91"/>
      <c r="H11" s="91"/>
      <c r="I11" s="92"/>
      <c r="J11" s="178"/>
      <c r="K11" s="178"/>
      <c r="L11" s="178"/>
      <c r="M11" s="13"/>
      <c r="N11" s="13"/>
      <c r="O11" s="13"/>
      <c r="P11" s="13"/>
      <c r="Q11" s="5"/>
      <c r="R11" s="5"/>
      <c r="S11" s="5"/>
      <c r="T11" s="5"/>
      <c r="U11" s="13"/>
      <c r="V11" s="5"/>
      <c r="W11" s="13"/>
      <c r="X11" s="13"/>
      <c r="Y11" s="13"/>
      <c r="Z11" s="13"/>
      <c r="AA11" s="13"/>
      <c r="AB11" s="13"/>
      <c r="AC11" s="13"/>
      <c r="AD11" s="5"/>
      <c r="AE11" s="5"/>
      <c r="AF11" s="5"/>
      <c r="AG11" s="5"/>
    </row>
    <row r="12" spans="1:1025" ht="13" x14ac:dyDescent="0.25">
      <c r="A12" s="7"/>
      <c r="B12" s="5" t="s">
        <v>80</v>
      </c>
      <c r="C12" s="6" t="s">
        <v>9</v>
      </c>
      <c r="D12" s="25">
        <v>8.0966458583174621</v>
      </c>
      <c r="E12" s="25">
        <v>14.87122680412403</v>
      </c>
      <c r="F12" s="25"/>
      <c r="G12" s="91"/>
      <c r="H12" s="91"/>
      <c r="I12" s="92"/>
      <c r="J12" s="178"/>
      <c r="K12" s="178"/>
      <c r="L12" s="178"/>
      <c r="M12" s="13"/>
      <c r="N12" s="13"/>
      <c r="O12" s="13"/>
      <c r="P12" s="13"/>
      <c r="Q12" s="5"/>
      <c r="R12" s="5"/>
      <c r="S12" s="5"/>
      <c r="T12" s="5"/>
      <c r="U12" s="13"/>
      <c r="V12" s="5"/>
      <c r="W12" s="13"/>
      <c r="X12" s="13"/>
      <c r="Y12" s="13"/>
      <c r="Z12" s="13"/>
      <c r="AA12" s="13"/>
      <c r="AB12" s="13"/>
      <c r="AC12" s="13"/>
      <c r="AD12" s="5"/>
      <c r="AE12" s="5"/>
      <c r="AF12" s="5"/>
      <c r="AG12" s="5"/>
    </row>
    <row r="13" spans="1:1025" ht="13" x14ac:dyDescent="0.25">
      <c r="A13" s="7"/>
      <c r="B13" s="5" t="s">
        <v>104</v>
      </c>
      <c r="C13" s="6" t="s">
        <v>30</v>
      </c>
      <c r="D13" s="25">
        <v>2.4530304433681707</v>
      </c>
      <c r="E13" s="25">
        <v>26.403789215227093</v>
      </c>
      <c r="F13" s="25"/>
      <c r="G13" s="91"/>
      <c r="H13" s="91"/>
      <c r="I13" s="92"/>
      <c r="J13" s="178"/>
      <c r="K13" s="178"/>
      <c r="L13" s="178"/>
      <c r="M13" s="13"/>
      <c r="N13" s="13"/>
      <c r="O13" s="13"/>
      <c r="P13" s="13"/>
      <c r="Q13" s="5"/>
      <c r="R13" s="5"/>
      <c r="S13" s="5"/>
      <c r="T13" s="5"/>
      <c r="U13" s="13"/>
      <c r="V13" s="5"/>
      <c r="W13" s="13"/>
      <c r="X13" s="13"/>
      <c r="Y13" s="13"/>
      <c r="Z13" s="13"/>
      <c r="AA13" s="13"/>
      <c r="AB13" s="13"/>
      <c r="AC13" s="13"/>
      <c r="AD13" s="5"/>
      <c r="AE13" s="5"/>
      <c r="AF13" s="5"/>
      <c r="AG13" s="5"/>
    </row>
    <row r="14" spans="1:1025" ht="13" x14ac:dyDescent="0.25">
      <c r="A14" s="7"/>
      <c r="B14" s="5"/>
      <c r="D14" s="25"/>
      <c r="E14" s="25"/>
      <c r="F14" s="25"/>
      <c r="G14" s="91"/>
      <c r="H14" s="91"/>
      <c r="I14" s="92"/>
      <c r="J14" s="178"/>
      <c r="K14" s="178"/>
      <c r="L14" s="178"/>
      <c r="M14" s="13"/>
      <c r="N14" s="13"/>
      <c r="O14" s="13"/>
      <c r="P14" s="13"/>
      <c r="Q14" s="5"/>
      <c r="R14" s="5"/>
      <c r="S14" s="5"/>
      <c r="T14" s="5"/>
      <c r="U14" s="13"/>
      <c r="V14" s="5"/>
      <c r="W14" s="13"/>
      <c r="X14" s="13"/>
      <c r="Y14" s="13"/>
      <c r="Z14" s="13"/>
      <c r="AA14" s="13"/>
      <c r="AB14" s="13"/>
      <c r="AC14" s="13"/>
      <c r="AD14" s="5"/>
      <c r="AE14" s="5"/>
      <c r="AF14" s="5"/>
      <c r="AG14" s="5"/>
    </row>
    <row r="15" spans="1:1025" ht="13" x14ac:dyDescent="0.25">
      <c r="A15" s="7" t="s">
        <v>108</v>
      </c>
      <c r="B15" s="5" t="s">
        <v>108</v>
      </c>
      <c r="C15" s="6" t="s">
        <v>32</v>
      </c>
      <c r="D15" s="25">
        <v>18.690062129776994</v>
      </c>
      <c r="E15" s="25">
        <v>13.545841840787457</v>
      </c>
      <c r="F15" s="25"/>
      <c r="G15" s="91"/>
      <c r="H15" s="91"/>
      <c r="I15" s="92"/>
      <c r="J15" s="178"/>
      <c r="K15" s="178"/>
      <c r="L15" s="178"/>
      <c r="M15" s="13"/>
      <c r="N15" s="13"/>
      <c r="O15" s="13"/>
      <c r="P15" s="13"/>
      <c r="Q15" s="5"/>
      <c r="R15" s="5"/>
      <c r="S15" s="5"/>
      <c r="T15" s="5"/>
      <c r="U15" s="5"/>
      <c r="V15" s="5"/>
      <c r="W15" s="13"/>
      <c r="X15" s="13"/>
      <c r="Y15" s="13"/>
      <c r="Z15" s="13"/>
      <c r="AA15" s="13"/>
      <c r="AB15" s="13"/>
      <c r="AC15" s="13"/>
      <c r="AD15" s="5"/>
      <c r="AE15" s="5"/>
      <c r="AF15" s="5"/>
      <c r="AG15" s="5"/>
    </row>
    <row r="16" spans="1:1025" ht="13" x14ac:dyDescent="0.25">
      <c r="A16" s="7"/>
      <c r="B16" s="5"/>
      <c r="D16" s="25"/>
      <c r="E16" s="25"/>
      <c r="F16" s="25"/>
      <c r="G16" s="91"/>
      <c r="H16" s="91"/>
      <c r="I16" s="92"/>
      <c r="J16" s="178"/>
      <c r="K16" s="178"/>
      <c r="L16" s="178"/>
      <c r="M16" s="13"/>
      <c r="N16" s="13"/>
      <c r="O16" s="13"/>
      <c r="P16" s="13"/>
      <c r="Q16" s="5"/>
      <c r="R16" s="5"/>
      <c r="S16" s="5"/>
      <c r="T16" s="5"/>
      <c r="U16" s="13"/>
      <c r="V16" s="5"/>
      <c r="W16" s="13"/>
      <c r="X16" s="13"/>
      <c r="Y16" s="13"/>
      <c r="Z16" s="13"/>
      <c r="AA16" s="13"/>
      <c r="AB16" s="13"/>
      <c r="AC16" s="13"/>
      <c r="AD16" s="5"/>
      <c r="AE16" s="5"/>
      <c r="AF16" s="5"/>
      <c r="AG16" s="5"/>
    </row>
    <row r="17" spans="1:33" ht="13" x14ac:dyDescent="0.25">
      <c r="A17" s="7" t="s">
        <v>111</v>
      </c>
      <c r="B17" s="5" t="s">
        <v>111</v>
      </c>
      <c r="C17" s="6" t="s">
        <v>35</v>
      </c>
      <c r="D17" s="25">
        <v>33.200000000000003</v>
      </c>
      <c r="E17" s="25">
        <v>16.883003363631474</v>
      </c>
      <c r="F17" s="25"/>
      <c r="G17" s="91"/>
      <c r="H17" s="91"/>
      <c r="I17" s="93"/>
      <c r="J17" s="178"/>
      <c r="K17" s="178"/>
      <c r="L17" s="178"/>
      <c r="M17" s="13"/>
      <c r="N17" s="13"/>
      <c r="O17" s="13"/>
      <c r="P17" s="13"/>
      <c r="Q17" s="5"/>
      <c r="R17" s="5"/>
      <c r="S17" s="5"/>
      <c r="T17" s="5"/>
      <c r="U17" s="13"/>
      <c r="V17" s="5"/>
      <c r="W17" s="13"/>
      <c r="X17" s="13"/>
      <c r="Y17" s="13"/>
      <c r="Z17" s="13"/>
      <c r="AA17" s="13"/>
      <c r="AB17" s="13"/>
      <c r="AC17" s="13"/>
      <c r="AD17" s="5"/>
      <c r="AE17" s="5"/>
      <c r="AF17" s="5"/>
      <c r="AG17" s="5"/>
    </row>
    <row r="18" spans="1:33" ht="13" x14ac:dyDescent="0.25">
      <c r="A18" s="7" t="s">
        <v>110</v>
      </c>
      <c r="B18" s="5" t="s">
        <v>110</v>
      </c>
      <c r="C18" s="6" t="s">
        <v>34</v>
      </c>
      <c r="D18" s="25" t="s">
        <v>36</v>
      </c>
      <c r="E18" s="25">
        <v>21.614077434080301</v>
      </c>
      <c r="F18" s="25"/>
      <c r="G18" s="94"/>
      <c r="H18" s="91"/>
      <c r="I18" s="92"/>
      <c r="J18" s="178"/>
      <c r="K18" s="178"/>
      <c r="L18" s="178"/>
      <c r="M18" s="13"/>
      <c r="N18" s="13"/>
      <c r="O18" s="13"/>
      <c r="P18" s="13"/>
      <c r="Q18" s="5"/>
      <c r="R18" s="5"/>
      <c r="S18" s="5"/>
      <c r="T18" s="5"/>
      <c r="U18" s="13"/>
      <c r="V18" s="5"/>
      <c r="W18" s="13"/>
      <c r="X18" s="13"/>
      <c r="Y18" s="13"/>
      <c r="Z18" s="13"/>
      <c r="AA18" s="13"/>
      <c r="AB18" s="13"/>
      <c r="AC18" s="13"/>
      <c r="AD18" s="5"/>
      <c r="AE18" s="5"/>
      <c r="AF18" s="5"/>
      <c r="AG18" s="5"/>
    </row>
    <row r="19" spans="1:33" ht="13" x14ac:dyDescent="0.25">
      <c r="A19" s="95" t="s">
        <v>112</v>
      </c>
      <c r="B19" s="5" t="s">
        <v>109</v>
      </c>
      <c r="C19" s="6" t="s">
        <v>138</v>
      </c>
      <c r="D19" s="25">
        <v>6.4244132342895446</v>
      </c>
      <c r="E19" s="25">
        <v>23.271000414112709</v>
      </c>
      <c r="F19" s="25"/>
      <c r="G19" s="94"/>
      <c r="H19" s="91"/>
      <c r="I19" s="92"/>
      <c r="J19" s="178"/>
      <c r="K19" s="178"/>
      <c r="L19" s="178"/>
      <c r="M19" s="13"/>
      <c r="N19" s="13"/>
      <c r="O19" s="13"/>
      <c r="P19" s="13"/>
      <c r="Q19" s="5"/>
      <c r="R19" s="5"/>
      <c r="S19" s="5"/>
      <c r="T19" s="5"/>
      <c r="U19" s="13"/>
      <c r="V19" s="5"/>
      <c r="W19" s="13"/>
      <c r="X19" s="13"/>
      <c r="Y19" s="13"/>
      <c r="Z19" s="13"/>
      <c r="AA19" s="13"/>
      <c r="AB19" s="13"/>
      <c r="AC19" s="13"/>
      <c r="AD19" s="5"/>
      <c r="AE19" s="5"/>
      <c r="AF19" s="5"/>
      <c r="AG19" s="5"/>
    </row>
    <row r="20" spans="1:33" ht="13" x14ac:dyDescent="0.25">
      <c r="A20" s="3"/>
      <c r="B20" s="96" t="s">
        <v>112</v>
      </c>
      <c r="C20" s="6" t="s">
        <v>139</v>
      </c>
      <c r="D20" s="25">
        <v>5.0767301246522223</v>
      </c>
      <c r="E20" s="25">
        <v>24.795810532448318</v>
      </c>
      <c r="F20" s="25"/>
      <c r="G20" s="91"/>
      <c r="H20" s="91"/>
      <c r="I20" s="92"/>
      <c r="J20" s="178"/>
      <c r="K20" s="178"/>
      <c r="L20" s="178"/>
      <c r="M20" s="13"/>
      <c r="N20" s="13"/>
      <c r="O20" s="13"/>
      <c r="P20" s="13"/>
      <c r="Q20" s="5"/>
      <c r="R20" s="5"/>
      <c r="S20" s="5"/>
      <c r="T20" s="5"/>
      <c r="U20" s="13"/>
      <c r="V20" s="5"/>
      <c r="W20" s="13"/>
      <c r="X20" s="13"/>
      <c r="Y20" s="13"/>
      <c r="Z20" s="13"/>
      <c r="AA20" s="13"/>
      <c r="AB20" s="13"/>
      <c r="AC20" s="13"/>
      <c r="AD20" s="5"/>
      <c r="AE20" s="5"/>
      <c r="AF20" s="5"/>
      <c r="AG20" s="5"/>
    </row>
    <row r="21" spans="1:33" ht="13" x14ac:dyDescent="0.25">
      <c r="A21" s="3" t="s">
        <v>67</v>
      </c>
      <c r="D21" s="25"/>
      <c r="E21" s="25"/>
      <c r="F21" s="34"/>
      <c r="G21" s="91"/>
      <c r="H21" s="91"/>
      <c r="I21" s="92"/>
      <c r="J21" s="178"/>
      <c r="K21" s="178"/>
      <c r="L21" s="178"/>
      <c r="M21" s="13"/>
      <c r="N21" s="13"/>
      <c r="O21" s="13"/>
      <c r="P21" s="13"/>
      <c r="Q21" s="5"/>
      <c r="R21" s="5"/>
      <c r="S21" s="5"/>
      <c r="T21" s="5"/>
      <c r="U21" s="13"/>
      <c r="V21" s="5"/>
      <c r="W21" s="13"/>
      <c r="X21" s="13"/>
      <c r="Y21" s="13"/>
      <c r="Z21" s="13"/>
      <c r="AA21" s="13"/>
      <c r="AB21" s="13"/>
      <c r="AC21" s="13"/>
      <c r="AD21" s="5"/>
      <c r="AE21" s="5"/>
      <c r="AF21" s="5"/>
      <c r="AG21" s="5"/>
    </row>
    <row r="22" spans="1:33" ht="13" x14ac:dyDescent="0.25">
      <c r="A22" s="3"/>
      <c r="B22" s="96" t="s">
        <v>121</v>
      </c>
      <c r="C22" s="96" t="s">
        <v>118</v>
      </c>
      <c r="D22" s="97">
        <v>4.1036648741470474</v>
      </c>
      <c r="E22" s="97">
        <v>5.3</v>
      </c>
      <c r="F22" s="25"/>
      <c r="G22" s="91"/>
      <c r="H22" s="91"/>
      <c r="I22" s="92"/>
      <c r="J22" s="178"/>
      <c r="K22" s="178"/>
      <c r="L22" s="178"/>
      <c r="M22" s="13"/>
      <c r="N22" s="13"/>
      <c r="O22" s="13"/>
      <c r="P22" s="13"/>
      <c r="Q22" s="5"/>
      <c r="R22" s="5"/>
      <c r="S22" s="5"/>
      <c r="T22" s="5"/>
      <c r="U22" s="13"/>
      <c r="V22" s="5"/>
      <c r="W22" s="13"/>
      <c r="X22" s="13"/>
      <c r="Y22" s="13"/>
      <c r="Z22" s="13"/>
      <c r="AA22" s="13"/>
      <c r="AB22" s="13"/>
      <c r="AC22" s="13"/>
      <c r="AD22" s="5"/>
      <c r="AE22" s="5"/>
      <c r="AF22" s="5"/>
      <c r="AG22" s="5"/>
    </row>
    <row r="23" spans="1:33" ht="13" x14ac:dyDescent="0.25">
      <c r="A23" s="3" t="s">
        <v>101</v>
      </c>
      <c r="D23" s="25"/>
      <c r="E23" s="25"/>
      <c r="F23" s="25"/>
      <c r="G23" s="91"/>
      <c r="H23" s="91"/>
      <c r="I23" s="92"/>
      <c r="J23" s="178"/>
      <c r="K23" s="178"/>
      <c r="L23" s="178"/>
      <c r="M23" s="13"/>
      <c r="N23" s="13"/>
      <c r="O23" s="13"/>
      <c r="P23" s="13"/>
      <c r="Q23" s="5"/>
      <c r="R23" s="5"/>
      <c r="S23" s="5"/>
      <c r="T23" s="5"/>
      <c r="U23" s="13"/>
      <c r="V23" s="5"/>
      <c r="W23" s="13"/>
      <c r="X23" s="13"/>
      <c r="Y23" s="13"/>
      <c r="Z23" s="13"/>
      <c r="AA23" s="13"/>
      <c r="AB23" s="13"/>
      <c r="AC23" s="13"/>
      <c r="AD23" s="5"/>
      <c r="AE23" s="5"/>
      <c r="AF23" s="5"/>
      <c r="AG23" s="5"/>
    </row>
    <row r="24" spans="1:33" ht="13" x14ac:dyDescent="0.25">
      <c r="A24" s="95" t="s">
        <v>99</v>
      </c>
      <c r="B24" s="6" t="s">
        <v>101</v>
      </c>
      <c r="C24" s="6" t="s">
        <v>27</v>
      </c>
      <c r="D24" s="25">
        <v>0.34537000850471578</v>
      </c>
      <c r="E24" s="25">
        <v>0.68079368147261199</v>
      </c>
      <c r="F24" s="25"/>
      <c r="G24" s="91"/>
      <c r="H24" s="91"/>
      <c r="I24" s="92"/>
      <c r="J24" s="178"/>
      <c r="K24" s="178"/>
      <c r="L24" s="178"/>
      <c r="M24" s="13"/>
      <c r="N24" s="13"/>
      <c r="O24" s="13"/>
      <c r="P24" s="13"/>
      <c r="Q24" s="5"/>
      <c r="R24" s="5"/>
      <c r="S24" s="5"/>
      <c r="T24" s="5"/>
      <c r="U24" s="13"/>
      <c r="V24" s="5"/>
      <c r="W24" s="13"/>
      <c r="X24" s="13"/>
      <c r="Y24" s="13"/>
      <c r="Z24" s="13"/>
      <c r="AA24" s="13"/>
      <c r="AB24" s="13"/>
      <c r="AC24" s="13"/>
      <c r="AD24" s="5"/>
      <c r="AE24" s="5"/>
      <c r="AF24" s="5"/>
      <c r="AG24" s="5"/>
    </row>
    <row r="25" spans="1:33" ht="13" x14ac:dyDescent="0.25">
      <c r="A25" s="95" t="s">
        <v>91</v>
      </c>
      <c r="B25" s="96" t="s">
        <v>102</v>
      </c>
      <c r="C25" s="6" t="s">
        <v>28</v>
      </c>
      <c r="D25" s="25">
        <v>1.9575329939028812</v>
      </c>
      <c r="E25" s="25">
        <v>1.1753428796150562</v>
      </c>
      <c r="F25" s="25"/>
      <c r="G25" s="91"/>
      <c r="H25" s="91"/>
      <c r="I25" s="92"/>
      <c r="J25" s="178"/>
      <c r="K25" s="178"/>
      <c r="L25" s="178"/>
      <c r="M25" s="13"/>
      <c r="N25" s="13"/>
      <c r="O25" s="13"/>
      <c r="P25" s="13"/>
      <c r="Q25" s="5"/>
      <c r="R25" s="5"/>
      <c r="S25" s="5"/>
      <c r="T25" s="5"/>
      <c r="U25" s="13"/>
      <c r="V25" s="5"/>
      <c r="W25" s="13"/>
      <c r="X25" s="13"/>
      <c r="Y25" s="13"/>
      <c r="Z25" s="13"/>
      <c r="AA25" s="13"/>
      <c r="AB25" s="13"/>
      <c r="AC25" s="13"/>
      <c r="AD25" s="5"/>
      <c r="AE25" s="5"/>
      <c r="AF25" s="5"/>
      <c r="AG25" s="5"/>
    </row>
    <row r="26" spans="1:33" ht="13" x14ac:dyDescent="0.25">
      <c r="A26" s="95" t="s">
        <v>96</v>
      </c>
      <c r="B26" s="96" t="s">
        <v>99</v>
      </c>
      <c r="C26" s="6" t="s">
        <v>25</v>
      </c>
      <c r="D26" s="25">
        <v>0.94026635509103162</v>
      </c>
      <c r="E26" s="25">
        <v>1.2953522947660596</v>
      </c>
      <c r="F26" s="25"/>
      <c r="G26" s="91"/>
      <c r="H26" s="91"/>
      <c r="I26" s="92"/>
      <c r="J26" s="178"/>
      <c r="K26" s="178"/>
      <c r="L26" s="178"/>
      <c r="M26" s="13"/>
      <c r="N26" s="13"/>
      <c r="O26" s="13"/>
      <c r="P26" s="13"/>
      <c r="Q26" s="5"/>
      <c r="R26" s="5"/>
      <c r="S26" s="5"/>
      <c r="T26" s="5"/>
      <c r="U26" s="13"/>
      <c r="V26" s="5"/>
      <c r="W26" s="13"/>
      <c r="X26" s="13"/>
      <c r="Y26" s="13"/>
      <c r="Z26" s="13"/>
      <c r="AA26" s="13"/>
      <c r="AB26" s="13"/>
      <c r="AC26" s="13"/>
      <c r="AD26" s="5"/>
      <c r="AE26" s="5"/>
      <c r="AF26" s="5"/>
      <c r="AG26" s="5"/>
    </row>
    <row r="27" spans="1:33" ht="13" x14ac:dyDescent="0.25">
      <c r="A27" s="95" t="s">
        <v>102</v>
      </c>
      <c r="B27" s="96" t="s">
        <v>96</v>
      </c>
      <c r="C27" s="6" t="s">
        <v>22</v>
      </c>
      <c r="D27" s="25">
        <v>1.8580822414733826</v>
      </c>
      <c r="E27" s="25">
        <v>1.683485100271451</v>
      </c>
      <c r="F27" s="25"/>
      <c r="G27" s="91"/>
      <c r="H27" s="91"/>
      <c r="I27" s="92"/>
      <c r="J27" s="178"/>
      <c r="K27" s="178"/>
      <c r="L27" s="178"/>
      <c r="M27" s="13"/>
      <c r="N27" s="13"/>
      <c r="O27" s="13"/>
      <c r="P27" s="13"/>
      <c r="Q27" s="5"/>
      <c r="R27" s="5"/>
      <c r="S27" s="5"/>
      <c r="T27" s="5"/>
      <c r="U27" s="13"/>
      <c r="V27" s="5"/>
      <c r="W27" s="12"/>
      <c r="X27" s="13"/>
      <c r="Y27" s="13"/>
      <c r="Z27" s="13"/>
      <c r="AA27" s="13"/>
      <c r="AB27" s="13"/>
      <c r="AC27" s="13"/>
      <c r="AD27" s="5"/>
      <c r="AE27" s="5"/>
      <c r="AF27" s="5"/>
      <c r="AG27" s="5"/>
    </row>
    <row r="28" spans="1:33" ht="13" x14ac:dyDescent="0.25">
      <c r="A28" s="95" t="s">
        <v>98</v>
      </c>
      <c r="B28" s="96" t="s">
        <v>91</v>
      </c>
      <c r="C28" s="6" t="s">
        <v>49</v>
      </c>
      <c r="D28" s="25">
        <v>1.5724791908123485</v>
      </c>
      <c r="E28" s="25">
        <v>1.911187985430838</v>
      </c>
      <c r="F28" s="25"/>
      <c r="G28" s="91"/>
      <c r="H28" s="91"/>
      <c r="I28" s="92"/>
      <c r="J28" s="178"/>
      <c r="K28" s="178"/>
      <c r="L28" s="178"/>
      <c r="M28" s="13"/>
      <c r="N28" s="13"/>
      <c r="O28" s="13"/>
      <c r="P28" s="13"/>
      <c r="Q28" s="5"/>
      <c r="R28" s="5"/>
      <c r="S28" s="5"/>
      <c r="T28" s="5"/>
      <c r="U28" s="13"/>
      <c r="V28" s="5"/>
      <c r="W28" s="13"/>
      <c r="X28" s="13"/>
      <c r="Y28" s="13"/>
      <c r="Z28" s="13"/>
      <c r="AA28" s="13"/>
      <c r="AB28" s="13"/>
      <c r="AC28" s="13"/>
      <c r="AD28" s="5"/>
      <c r="AE28" s="5"/>
      <c r="AF28" s="5"/>
      <c r="AG28" s="5"/>
    </row>
    <row r="29" spans="1:33" ht="13" x14ac:dyDescent="0.25">
      <c r="A29" s="3" t="s">
        <v>86</v>
      </c>
      <c r="B29" s="96" t="s">
        <v>98</v>
      </c>
      <c r="C29" s="6" t="s">
        <v>24</v>
      </c>
      <c r="D29" s="25">
        <v>3.1471736102583319</v>
      </c>
      <c r="E29" s="25">
        <v>2.017313450374405</v>
      </c>
      <c r="G29" s="91"/>
      <c r="H29" s="91"/>
      <c r="I29" s="92"/>
      <c r="J29" s="178"/>
      <c r="K29" s="178"/>
      <c r="L29" s="178"/>
      <c r="M29" s="13"/>
      <c r="N29" s="13"/>
      <c r="O29" s="13"/>
      <c r="P29" s="13"/>
      <c r="Q29" s="5"/>
      <c r="R29" s="5"/>
      <c r="S29" s="5"/>
      <c r="T29" s="5"/>
      <c r="U29" s="13"/>
      <c r="V29" s="5"/>
      <c r="W29" s="13"/>
      <c r="X29" s="13"/>
      <c r="Y29" s="13"/>
      <c r="Z29" s="13"/>
      <c r="AA29" s="13"/>
      <c r="AB29" s="13"/>
      <c r="AC29" s="13"/>
      <c r="AD29" s="5"/>
      <c r="AE29" s="5"/>
      <c r="AF29" s="5"/>
      <c r="AG29" s="5"/>
    </row>
    <row r="30" spans="1:33" ht="13" x14ac:dyDescent="0.25">
      <c r="A30" s="95" t="s">
        <v>94</v>
      </c>
      <c r="B30" s="96" t="s">
        <v>95</v>
      </c>
      <c r="C30" s="6" t="s">
        <v>21</v>
      </c>
      <c r="D30" s="25">
        <v>3.2302679173391677</v>
      </c>
      <c r="E30" s="25">
        <v>2.1699684012493377</v>
      </c>
      <c r="F30" s="25"/>
      <c r="G30" s="91"/>
      <c r="H30" s="91"/>
      <c r="I30" s="92"/>
      <c r="J30" s="178"/>
      <c r="K30" s="178"/>
      <c r="L30" s="178"/>
      <c r="M30" s="13"/>
      <c r="N30" s="13"/>
      <c r="O30" s="13"/>
      <c r="P30" s="13"/>
      <c r="Q30" s="5"/>
      <c r="R30" s="5"/>
      <c r="S30" s="5"/>
      <c r="T30" s="5"/>
      <c r="U30" s="13"/>
      <c r="V30" s="5"/>
      <c r="W30" s="13"/>
      <c r="X30" s="13"/>
      <c r="Y30" s="13"/>
      <c r="Z30" s="13"/>
      <c r="AA30" s="13"/>
      <c r="AB30" s="13"/>
      <c r="AC30" s="13"/>
      <c r="AD30" s="5"/>
      <c r="AE30" s="5"/>
      <c r="AF30" s="5"/>
      <c r="AG30" s="5"/>
    </row>
    <row r="31" spans="1:33" ht="13" x14ac:dyDescent="0.25">
      <c r="A31" s="95" t="s">
        <v>104</v>
      </c>
      <c r="B31" s="96" t="s">
        <v>92</v>
      </c>
      <c r="C31" s="6" t="s">
        <v>18</v>
      </c>
      <c r="D31" s="25">
        <v>4.5325056734748363</v>
      </c>
      <c r="E31" s="25">
        <v>2.3065302695851493</v>
      </c>
      <c r="F31" s="25"/>
      <c r="G31" s="91"/>
      <c r="H31" s="91"/>
      <c r="I31" s="92"/>
      <c r="J31" s="178"/>
      <c r="K31" s="178"/>
      <c r="L31" s="178"/>
      <c r="M31" s="13"/>
      <c r="N31" s="13"/>
      <c r="O31" s="13"/>
      <c r="P31" s="13"/>
      <c r="Q31" s="5"/>
      <c r="R31" s="5"/>
      <c r="S31" s="5"/>
      <c r="T31" s="5"/>
      <c r="U31" s="13"/>
      <c r="V31" s="5"/>
      <c r="W31" s="13"/>
      <c r="X31" s="13"/>
      <c r="Y31" s="13"/>
      <c r="Z31" s="13"/>
      <c r="AA31" s="13"/>
      <c r="AB31" s="13"/>
      <c r="AC31" s="13"/>
      <c r="AD31" s="5"/>
      <c r="AE31" s="5"/>
      <c r="AF31" s="5"/>
      <c r="AG31" s="5"/>
    </row>
    <row r="32" spans="1:33" ht="13" x14ac:dyDescent="0.25">
      <c r="A32" s="3" t="s">
        <v>89</v>
      </c>
      <c r="B32" s="96" t="s">
        <v>86</v>
      </c>
      <c r="C32" s="6" t="s">
        <v>168</v>
      </c>
      <c r="D32" s="25">
        <v>0.41425783661155713</v>
      </c>
      <c r="E32" s="25">
        <v>2.4865132358125575</v>
      </c>
      <c r="F32" s="25"/>
      <c r="G32" s="91"/>
      <c r="H32" s="91"/>
      <c r="I32" s="92"/>
      <c r="J32" s="178"/>
      <c r="K32" s="178"/>
      <c r="L32" s="178"/>
      <c r="M32" s="13"/>
      <c r="N32" s="13"/>
      <c r="O32" s="13"/>
      <c r="P32" s="13"/>
      <c r="Q32" s="5"/>
      <c r="R32" s="5"/>
      <c r="S32" s="5"/>
      <c r="T32" s="5"/>
      <c r="U32" s="13"/>
      <c r="V32" s="5"/>
      <c r="W32" s="13"/>
      <c r="X32" s="13"/>
      <c r="Y32" s="13"/>
      <c r="Z32" s="13"/>
      <c r="AA32" s="13"/>
      <c r="AB32" s="13"/>
      <c r="AC32" s="13"/>
      <c r="AD32" s="5"/>
      <c r="AE32" s="5"/>
      <c r="AF32" s="5"/>
      <c r="AG32" s="5"/>
    </row>
    <row r="33" spans="1:33" ht="13" x14ac:dyDescent="0.25">
      <c r="A33" s="3" t="s">
        <v>87</v>
      </c>
      <c r="B33" s="96" t="s">
        <v>89</v>
      </c>
      <c r="C33" s="6" t="s">
        <v>16</v>
      </c>
      <c r="D33" s="25">
        <v>2.2976737292537033</v>
      </c>
      <c r="E33" s="25">
        <v>2.5397763148317112</v>
      </c>
      <c r="F33" s="25"/>
      <c r="G33" s="91"/>
      <c r="H33" s="91"/>
      <c r="I33" s="92"/>
      <c r="J33" s="178"/>
      <c r="K33" s="178"/>
      <c r="L33" s="178"/>
      <c r="M33" s="13"/>
      <c r="N33" s="13"/>
      <c r="O33" s="13"/>
      <c r="P33" s="13"/>
      <c r="Q33" s="5"/>
      <c r="R33" s="5"/>
      <c r="S33" s="5"/>
      <c r="T33" s="5"/>
      <c r="U33" s="13"/>
      <c r="V33" s="5"/>
      <c r="W33" s="13"/>
      <c r="X33" s="13"/>
      <c r="Y33" s="13"/>
      <c r="Z33" s="13"/>
      <c r="AA33" s="13"/>
      <c r="AB33" s="13"/>
      <c r="AC33" s="13"/>
      <c r="AD33" s="5"/>
      <c r="AE33" s="5"/>
      <c r="AF33" s="5"/>
      <c r="AG33" s="5"/>
    </row>
    <row r="34" spans="1:33" ht="13" x14ac:dyDescent="0.25">
      <c r="A34" s="95" t="s">
        <v>103</v>
      </c>
      <c r="B34" s="96" t="s">
        <v>87</v>
      </c>
      <c r="C34" s="6" t="s">
        <v>14</v>
      </c>
      <c r="D34" s="25">
        <v>2.1750842658705931</v>
      </c>
      <c r="E34" s="25">
        <v>2.9775031020072369</v>
      </c>
      <c r="F34" s="25"/>
      <c r="G34" s="91"/>
      <c r="H34" s="91"/>
      <c r="I34" s="92"/>
      <c r="J34" s="178"/>
      <c r="K34" s="178"/>
      <c r="L34" s="178"/>
      <c r="M34" s="13"/>
      <c r="N34" s="13"/>
      <c r="O34" s="13"/>
      <c r="P34" s="13"/>
      <c r="Q34" s="5"/>
      <c r="R34" s="5"/>
      <c r="S34" s="5"/>
      <c r="T34" s="5"/>
      <c r="U34" s="13"/>
      <c r="V34" s="5"/>
      <c r="W34" s="13"/>
      <c r="X34" s="13"/>
      <c r="Y34" s="13"/>
      <c r="Z34" s="13"/>
      <c r="AA34" s="13"/>
      <c r="AB34" s="13"/>
      <c r="AC34" s="13"/>
      <c r="AD34" s="5"/>
      <c r="AE34" s="5"/>
      <c r="AF34" s="5"/>
      <c r="AG34" s="5"/>
    </row>
    <row r="35" spans="1:33" ht="13" x14ac:dyDescent="0.25">
      <c r="A35" s="3" t="s">
        <v>95</v>
      </c>
      <c r="B35" s="96" t="s">
        <v>88</v>
      </c>
      <c r="C35" s="6" t="s">
        <v>15</v>
      </c>
      <c r="D35" s="25">
        <v>3.2494349286175339</v>
      </c>
      <c r="E35" s="25">
        <v>3.2976821398107821</v>
      </c>
      <c r="F35" s="25"/>
      <c r="G35" s="91"/>
      <c r="H35" s="91"/>
      <c r="I35" s="92"/>
      <c r="J35" s="178"/>
      <c r="K35" s="178"/>
      <c r="L35" s="178"/>
      <c r="M35" s="13"/>
      <c r="N35" s="13"/>
      <c r="O35" s="13"/>
      <c r="P35" s="13"/>
      <c r="Q35" s="5"/>
      <c r="R35" s="5"/>
      <c r="S35" s="5"/>
      <c r="T35" s="5"/>
      <c r="U35" s="13"/>
      <c r="V35" s="5"/>
      <c r="W35" s="13"/>
      <c r="X35" s="13"/>
      <c r="Y35" s="13"/>
      <c r="Z35" s="13"/>
      <c r="AA35" s="13"/>
      <c r="AB35" s="13"/>
      <c r="AC35" s="13"/>
      <c r="AD35" s="5"/>
      <c r="AE35" s="5"/>
      <c r="AF35" s="5"/>
      <c r="AG35" s="5"/>
    </row>
    <row r="36" spans="1:33" ht="13" x14ac:dyDescent="0.25">
      <c r="A36" s="3"/>
      <c r="B36" s="96" t="s">
        <v>79</v>
      </c>
      <c r="C36" s="6" t="s">
        <v>8</v>
      </c>
      <c r="D36" s="25">
        <v>7.7711901497157028</v>
      </c>
      <c r="E36" s="25">
        <v>3.5</v>
      </c>
      <c r="F36" s="25"/>
      <c r="G36" s="91"/>
      <c r="H36" s="91"/>
      <c r="I36" s="92"/>
      <c r="J36" s="178"/>
      <c r="K36" s="178"/>
      <c r="L36" s="178"/>
      <c r="M36" s="13"/>
      <c r="N36" s="13"/>
      <c r="O36" s="13"/>
      <c r="P36" s="13"/>
      <c r="Q36" s="5"/>
      <c r="R36" s="5"/>
      <c r="S36" s="5"/>
      <c r="T36" s="5"/>
      <c r="U36" s="13"/>
      <c r="V36" s="5"/>
      <c r="W36" s="13"/>
      <c r="X36" s="13"/>
      <c r="Y36" s="13"/>
      <c r="Z36" s="13"/>
      <c r="AA36" s="13"/>
      <c r="AB36" s="13"/>
      <c r="AC36" s="13"/>
      <c r="AD36" s="5"/>
      <c r="AE36" s="5"/>
      <c r="AF36" s="5"/>
      <c r="AG36" s="5"/>
    </row>
    <row r="37" spans="1:33" ht="13" x14ac:dyDescent="0.25">
      <c r="A37" s="95" t="s">
        <v>88</v>
      </c>
      <c r="B37" s="96" t="s">
        <v>97</v>
      </c>
      <c r="C37" s="6" t="s">
        <v>23</v>
      </c>
      <c r="D37" s="25">
        <v>3.7033816238177399</v>
      </c>
      <c r="E37" s="25">
        <v>3.550106530876461</v>
      </c>
      <c r="F37" s="25"/>
      <c r="G37" s="91"/>
      <c r="H37" s="91"/>
      <c r="I37" s="92"/>
      <c r="J37" s="178"/>
      <c r="K37" s="178"/>
      <c r="L37" s="178"/>
      <c r="M37" s="13"/>
      <c r="N37" s="13"/>
      <c r="O37" s="13"/>
      <c r="P37" s="13"/>
      <c r="Q37" s="5"/>
      <c r="R37" s="5"/>
      <c r="S37" s="5"/>
      <c r="T37" s="5"/>
      <c r="U37" s="13"/>
      <c r="V37" s="5"/>
      <c r="W37" s="13"/>
      <c r="X37" s="13"/>
      <c r="Y37" s="13"/>
      <c r="Z37" s="13"/>
      <c r="AA37" s="13"/>
      <c r="AB37" s="13"/>
      <c r="AC37" s="13"/>
      <c r="AD37" s="5"/>
      <c r="AE37" s="5"/>
      <c r="AF37" s="5"/>
      <c r="AG37" s="5"/>
    </row>
    <row r="38" spans="1:33" ht="13" x14ac:dyDescent="0.25">
      <c r="A38" s="95" t="s">
        <v>93</v>
      </c>
      <c r="B38" s="96" t="s">
        <v>103</v>
      </c>
      <c r="C38" s="6" t="s">
        <v>29</v>
      </c>
      <c r="D38" s="25">
        <v>4.4274727326357572</v>
      </c>
      <c r="E38" s="25">
        <v>3.680011713414387</v>
      </c>
      <c r="F38" s="25"/>
      <c r="G38" s="91"/>
      <c r="H38" s="91"/>
      <c r="I38" s="92"/>
      <c r="J38" s="178"/>
      <c r="K38" s="178"/>
      <c r="L38" s="178"/>
      <c r="M38" s="13"/>
      <c r="N38" s="13"/>
      <c r="O38" s="13"/>
      <c r="P38" s="13"/>
      <c r="Q38" s="5"/>
      <c r="R38" s="5"/>
      <c r="S38" s="5"/>
      <c r="T38" s="5"/>
      <c r="U38" s="13"/>
      <c r="V38" s="5"/>
      <c r="W38" s="13"/>
      <c r="X38" s="13"/>
      <c r="Y38" s="13"/>
      <c r="Z38" s="13"/>
      <c r="AA38" s="13"/>
      <c r="AB38" s="13"/>
      <c r="AC38" s="13"/>
      <c r="AD38" s="5"/>
      <c r="AE38" s="5"/>
      <c r="AF38" s="5"/>
      <c r="AG38" s="5"/>
    </row>
    <row r="39" spans="1:33" ht="13" x14ac:dyDescent="0.25">
      <c r="A39" s="95" t="s">
        <v>97</v>
      </c>
      <c r="B39" s="96" t="s">
        <v>81</v>
      </c>
      <c r="C39" s="6" t="s">
        <v>10</v>
      </c>
      <c r="D39" s="25">
        <v>5.736547254041092</v>
      </c>
      <c r="E39" s="25">
        <v>3.9734241275119322</v>
      </c>
      <c r="F39" s="25"/>
      <c r="G39" s="91"/>
      <c r="H39" s="91"/>
      <c r="I39" s="92"/>
      <c r="J39" s="178"/>
      <c r="K39" s="178"/>
      <c r="L39" s="178"/>
      <c r="M39" s="13"/>
      <c r="N39" s="13"/>
      <c r="O39" s="13"/>
      <c r="P39" s="13"/>
      <c r="Q39" s="5"/>
      <c r="R39" s="5"/>
      <c r="S39" s="5"/>
      <c r="T39" s="5"/>
      <c r="U39" s="13"/>
      <c r="V39" s="5"/>
      <c r="W39" s="13"/>
      <c r="X39" s="13"/>
      <c r="Y39" s="13"/>
      <c r="Z39" s="13"/>
      <c r="AA39" s="13"/>
      <c r="AB39" s="13"/>
      <c r="AC39" s="13"/>
      <c r="AD39" s="5"/>
      <c r="AE39" s="5"/>
      <c r="AF39" s="5"/>
      <c r="AG39" s="5"/>
    </row>
    <row r="40" spans="1:33" ht="13" x14ac:dyDescent="0.25">
      <c r="A40" s="95" t="s">
        <v>85</v>
      </c>
      <c r="B40" s="6" t="s">
        <v>100</v>
      </c>
      <c r="C40" s="6" t="s">
        <v>26</v>
      </c>
      <c r="D40" s="25">
        <v>4.9940546532025216</v>
      </c>
      <c r="E40" s="25">
        <v>4.1820227372050542</v>
      </c>
      <c r="F40" s="25"/>
      <c r="G40" s="91"/>
      <c r="H40" s="91"/>
      <c r="I40" s="92"/>
      <c r="J40" s="178"/>
      <c r="K40" s="178"/>
      <c r="L40" s="178"/>
      <c r="M40" s="13"/>
      <c r="N40" s="13"/>
      <c r="O40" s="13"/>
      <c r="P40" s="13"/>
      <c r="Q40" s="5"/>
      <c r="R40" s="5"/>
      <c r="S40" s="5"/>
      <c r="T40" s="5"/>
      <c r="U40" s="13"/>
      <c r="V40" s="5"/>
      <c r="W40" s="13"/>
      <c r="X40" s="13"/>
      <c r="Y40" s="13"/>
      <c r="Z40" s="13"/>
      <c r="AA40" s="13"/>
      <c r="AB40" s="13"/>
      <c r="AC40" s="13"/>
      <c r="AD40" s="5"/>
      <c r="AE40" s="5"/>
      <c r="AF40" s="5"/>
      <c r="AG40" s="5"/>
    </row>
    <row r="41" spans="1:33" ht="13" x14ac:dyDescent="0.25">
      <c r="A41" s="95" t="s">
        <v>81</v>
      </c>
      <c r="B41" s="6" t="s">
        <v>93</v>
      </c>
      <c r="C41" s="6" t="s">
        <v>19</v>
      </c>
      <c r="D41" s="25">
        <v>1.888140370955592</v>
      </c>
      <c r="E41" s="25">
        <v>4.2200650900718246</v>
      </c>
      <c r="G41" s="91"/>
      <c r="H41" s="91"/>
      <c r="I41" s="92"/>
      <c r="J41" s="178"/>
      <c r="K41" s="178"/>
      <c r="L41" s="178"/>
      <c r="M41" s="13"/>
      <c r="N41" s="13"/>
      <c r="O41" s="13"/>
      <c r="P41" s="13"/>
      <c r="Q41" s="5"/>
      <c r="R41" s="5"/>
      <c r="S41" s="5"/>
      <c r="T41" s="5"/>
      <c r="U41" s="13"/>
      <c r="V41" s="5"/>
      <c r="W41" s="13"/>
      <c r="X41" s="13"/>
      <c r="Y41" s="13"/>
      <c r="Z41" s="13"/>
      <c r="AA41" s="13"/>
      <c r="AB41" s="13"/>
      <c r="AC41" s="13"/>
      <c r="AD41" s="5"/>
      <c r="AE41" s="5"/>
      <c r="AF41" s="5"/>
      <c r="AG41" s="5"/>
    </row>
    <row r="42" spans="1:33" ht="13" x14ac:dyDescent="0.25">
      <c r="A42" s="95" t="s">
        <v>92</v>
      </c>
      <c r="B42" s="6" t="s">
        <v>85</v>
      </c>
      <c r="C42" s="6" t="s">
        <v>182</v>
      </c>
      <c r="D42" s="25">
        <v>9.956811496363061</v>
      </c>
      <c r="E42" s="25">
        <v>4.3674334566375528</v>
      </c>
      <c r="F42" s="25"/>
      <c r="G42" s="91"/>
      <c r="H42" s="91"/>
      <c r="I42" s="92"/>
      <c r="J42" s="178"/>
      <c r="K42" s="178"/>
      <c r="L42" s="178"/>
      <c r="M42" s="13"/>
      <c r="N42" s="13"/>
      <c r="O42" s="13"/>
      <c r="P42" s="13"/>
      <c r="Q42" s="5"/>
      <c r="R42" s="5"/>
      <c r="S42" s="5"/>
      <c r="T42" s="5"/>
      <c r="U42" s="13"/>
      <c r="V42" s="5"/>
      <c r="W42" s="13"/>
      <c r="X42" s="13"/>
      <c r="Y42" s="13"/>
      <c r="Z42" s="13"/>
      <c r="AA42" s="13"/>
      <c r="AB42" s="13"/>
      <c r="AC42" s="13"/>
      <c r="AD42" s="5"/>
      <c r="AE42" s="5"/>
      <c r="AF42" s="5"/>
      <c r="AG42" s="5"/>
    </row>
    <row r="43" spans="1:33" ht="15" customHeight="1" x14ac:dyDescent="0.25">
      <c r="A43" s="95" t="s">
        <v>105</v>
      </c>
      <c r="B43" s="96" t="s">
        <v>105</v>
      </c>
      <c r="C43" s="6" t="s">
        <v>31</v>
      </c>
      <c r="D43" s="25">
        <v>2.1486302223078657</v>
      </c>
      <c r="E43" s="25">
        <v>4.3751977305983996</v>
      </c>
      <c r="F43" s="25"/>
      <c r="H43" s="91"/>
      <c r="I43" s="92"/>
      <c r="J43" s="178"/>
      <c r="K43" s="178"/>
      <c r="L43" s="178"/>
      <c r="M43" s="13"/>
      <c r="N43" s="13"/>
      <c r="O43" s="13"/>
      <c r="P43" s="13"/>
      <c r="Q43" s="5"/>
      <c r="R43" s="5"/>
      <c r="S43" s="5"/>
      <c r="T43" s="5"/>
      <c r="U43" s="13"/>
      <c r="V43" s="5"/>
      <c r="W43" s="13"/>
      <c r="X43" s="13"/>
      <c r="Y43" s="13"/>
      <c r="Z43" s="13"/>
      <c r="AA43" s="13"/>
      <c r="AB43" s="13"/>
      <c r="AC43" s="13"/>
      <c r="AD43" s="5"/>
      <c r="AE43" s="5"/>
      <c r="AF43" s="5"/>
      <c r="AG43" s="5"/>
    </row>
    <row r="44" spans="1:33" ht="14.5" customHeight="1" x14ac:dyDescent="0.25">
      <c r="A44" s="95" t="s">
        <v>100</v>
      </c>
      <c r="B44" s="96" t="s">
        <v>94</v>
      </c>
      <c r="C44" s="6" t="s">
        <v>20</v>
      </c>
      <c r="D44" s="25">
        <v>3.6400242149835429</v>
      </c>
      <c r="E44" s="25">
        <v>4.7623498564692595</v>
      </c>
      <c r="F44" s="25"/>
      <c r="H44" s="91"/>
      <c r="I44" s="92"/>
      <c r="J44" s="178"/>
      <c r="K44" s="178"/>
      <c r="L44" s="178"/>
      <c r="M44" s="13"/>
      <c r="N44" s="13"/>
      <c r="O44" s="13"/>
      <c r="P44" s="13"/>
      <c r="Q44" s="5"/>
      <c r="R44" s="5"/>
      <c r="S44" s="5"/>
      <c r="T44" s="5"/>
      <c r="U44" s="13"/>
      <c r="V44" s="5"/>
      <c r="W44" s="13"/>
      <c r="X44" s="13"/>
      <c r="Y44" s="13"/>
      <c r="Z44" s="13"/>
      <c r="AA44" s="13"/>
      <c r="AB44" s="13"/>
      <c r="AC44" s="13"/>
      <c r="AD44" s="5"/>
      <c r="AE44" s="5"/>
      <c r="AF44" s="5"/>
      <c r="AG44" s="5"/>
    </row>
    <row r="45" spans="1:33" ht="15" customHeight="1" x14ac:dyDescent="0.25">
      <c r="A45" s="95" t="s">
        <v>90</v>
      </c>
      <c r="B45" s="96" t="s">
        <v>90</v>
      </c>
      <c r="C45" s="6" t="s">
        <v>17</v>
      </c>
      <c r="D45" s="25">
        <v>5.3858307321994836</v>
      </c>
      <c r="E45" s="25">
        <v>5.320670108822199</v>
      </c>
      <c r="F45" s="25"/>
      <c r="H45" s="91"/>
      <c r="I45" s="92"/>
      <c r="J45" s="178"/>
      <c r="K45" s="178"/>
      <c r="L45" s="178"/>
      <c r="M45" s="13"/>
      <c r="N45" s="13"/>
      <c r="O45" s="13"/>
      <c r="P45" s="13"/>
      <c r="Q45" s="5"/>
      <c r="R45" s="5"/>
      <c r="S45" s="5"/>
      <c r="T45" s="5"/>
      <c r="U45" s="13"/>
      <c r="V45" s="5"/>
      <c r="W45" s="13"/>
      <c r="X45" s="13"/>
      <c r="Y45" s="13"/>
      <c r="Z45" s="13"/>
      <c r="AA45" s="13"/>
      <c r="AB45" s="13"/>
      <c r="AC45" s="13"/>
      <c r="AD45" s="5"/>
      <c r="AE45" s="5"/>
      <c r="AF45" s="5"/>
      <c r="AG45" s="5"/>
    </row>
    <row r="46" spans="1:33" ht="15" customHeight="1" x14ac:dyDescent="0.25">
      <c r="A46" s="95" t="s">
        <v>79</v>
      </c>
      <c r="B46" s="85" t="s">
        <v>83</v>
      </c>
      <c r="C46" s="85" t="s">
        <v>12</v>
      </c>
      <c r="D46" s="25">
        <v>5.4825268602583836</v>
      </c>
      <c r="E46" s="25">
        <v>5.9145771050993146</v>
      </c>
      <c r="F46" s="25"/>
      <c r="H46" s="5"/>
      <c r="I46" s="92"/>
      <c r="J46" s="178"/>
      <c r="K46" s="178"/>
      <c r="L46" s="178"/>
      <c r="M46" s="13"/>
      <c r="N46" s="13"/>
      <c r="O46" s="13"/>
      <c r="P46" s="13"/>
      <c r="Q46" s="5"/>
      <c r="R46" s="5"/>
      <c r="S46" s="5"/>
      <c r="T46" s="5"/>
      <c r="U46" s="13"/>
      <c r="V46" s="5"/>
      <c r="W46" s="13"/>
      <c r="X46" s="13"/>
      <c r="Y46" s="13"/>
      <c r="Z46" s="13"/>
      <c r="AA46" s="13"/>
      <c r="AB46" s="13"/>
      <c r="AC46" s="13"/>
      <c r="AD46" s="5"/>
      <c r="AE46" s="5"/>
      <c r="AF46" s="5"/>
      <c r="AG46" s="5"/>
    </row>
    <row r="47" spans="1:33" ht="13" x14ac:dyDescent="0.25">
      <c r="A47" s="3" t="s">
        <v>80</v>
      </c>
      <c r="B47" s="96" t="s">
        <v>82</v>
      </c>
      <c r="C47" s="6" t="s">
        <v>11</v>
      </c>
      <c r="D47" s="25">
        <v>7.5521947083119363</v>
      </c>
      <c r="E47" s="25">
        <v>6.686206690420633</v>
      </c>
      <c r="F47" s="25"/>
      <c r="G47" s="91"/>
      <c r="H47" s="91"/>
      <c r="I47" s="92"/>
      <c r="J47" s="178"/>
      <c r="K47" s="178"/>
      <c r="L47" s="178"/>
      <c r="M47" s="13"/>
      <c r="N47" s="13"/>
      <c r="O47" s="13"/>
      <c r="P47" s="13"/>
      <c r="Q47" s="5"/>
      <c r="R47" s="5"/>
      <c r="S47" s="5"/>
      <c r="T47" s="5"/>
      <c r="U47" s="13"/>
      <c r="V47" s="5"/>
      <c r="W47" s="13"/>
      <c r="X47" s="13"/>
      <c r="Y47" s="13"/>
      <c r="Z47" s="13"/>
      <c r="AA47" s="13"/>
      <c r="AB47" s="13"/>
      <c r="AC47" s="13"/>
      <c r="AD47" s="5"/>
      <c r="AE47" s="5"/>
      <c r="AF47" s="5"/>
      <c r="AG47" s="5"/>
    </row>
    <row r="48" spans="1:33" ht="13" x14ac:dyDescent="0.25">
      <c r="A48" s="3"/>
      <c r="D48" s="25"/>
      <c r="E48" s="25"/>
      <c r="F48" s="25"/>
      <c r="G48" s="91"/>
      <c r="H48" s="91"/>
      <c r="I48" s="92"/>
      <c r="J48" s="178"/>
      <c r="K48" s="178"/>
      <c r="L48" s="178"/>
      <c r="M48" s="13"/>
      <c r="N48" s="13"/>
      <c r="O48" s="13"/>
      <c r="P48" s="13"/>
      <c r="Q48" s="5"/>
      <c r="R48" s="5"/>
      <c r="S48" s="5"/>
      <c r="T48" s="5"/>
      <c r="U48" s="13"/>
      <c r="V48" s="5"/>
      <c r="W48" s="13"/>
      <c r="X48" s="13"/>
      <c r="Y48" s="13"/>
      <c r="Z48" s="13"/>
      <c r="AA48" s="13"/>
      <c r="AB48" s="13"/>
      <c r="AC48" s="13"/>
      <c r="AD48" s="5"/>
      <c r="AE48" s="5"/>
      <c r="AF48" s="5"/>
      <c r="AG48" s="5"/>
    </row>
    <row r="49" spans="1:33" ht="13" x14ac:dyDescent="0.25">
      <c r="A49" s="3" t="s">
        <v>107</v>
      </c>
      <c r="B49" s="6" t="s">
        <v>107</v>
      </c>
      <c r="C49" s="175" t="s">
        <v>142</v>
      </c>
      <c r="D49" s="25">
        <v>2.6760202447306041</v>
      </c>
      <c r="E49" s="25">
        <v>0.28842860079015276</v>
      </c>
      <c r="F49" s="25"/>
      <c r="G49" s="91"/>
      <c r="H49" s="91"/>
      <c r="I49" s="92"/>
      <c r="J49" s="178"/>
      <c r="K49" s="178"/>
      <c r="L49" s="178"/>
      <c r="M49" s="13"/>
      <c r="N49" s="13"/>
      <c r="O49" s="13"/>
      <c r="P49" s="13"/>
      <c r="Q49" s="5"/>
      <c r="R49" s="5"/>
      <c r="S49" s="5"/>
      <c r="T49" s="5"/>
      <c r="U49" s="13"/>
      <c r="V49" s="5"/>
      <c r="W49" s="13"/>
      <c r="X49" s="13"/>
      <c r="Y49" s="13"/>
      <c r="Z49" s="13"/>
      <c r="AA49" s="13"/>
      <c r="AB49" s="13"/>
      <c r="AC49" s="13"/>
      <c r="AD49" s="5"/>
      <c r="AE49" s="5"/>
      <c r="AF49" s="5"/>
      <c r="AG49" s="5"/>
    </row>
    <row r="50" spans="1:33" ht="13" x14ac:dyDescent="0.25">
      <c r="A50" s="3" t="s">
        <v>106</v>
      </c>
      <c r="B50" s="6" t="s">
        <v>106</v>
      </c>
      <c r="C50" s="96" t="s">
        <v>183</v>
      </c>
      <c r="D50" s="97">
        <v>1.6252365733029839</v>
      </c>
      <c r="E50" s="97">
        <v>3.907897328973525</v>
      </c>
      <c r="F50" s="25"/>
      <c r="G50" s="91"/>
      <c r="I50" s="92"/>
      <c r="J50" s="178"/>
      <c r="K50" s="178"/>
      <c r="L50" s="178"/>
      <c r="M50" s="13"/>
      <c r="N50" s="13"/>
      <c r="O50" s="13"/>
      <c r="P50" s="13"/>
      <c r="Q50" s="5"/>
      <c r="R50" s="5"/>
      <c r="S50" s="5"/>
      <c r="T50" s="5"/>
      <c r="U50" s="13"/>
      <c r="V50" s="5"/>
      <c r="W50" s="13"/>
      <c r="X50" s="13"/>
      <c r="Y50" s="13"/>
      <c r="Z50" s="13"/>
      <c r="AA50" s="13"/>
      <c r="AB50" s="13"/>
      <c r="AC50" s="13"/>
      <c r="AD50" s="5"/>
      <c r="AE50" s="5"/>
      <c r="AF50" s="5"/>
      <c r="AG50" s="5"/>
    </row>
    <row r="51" spans="1:33" ht="13" x14ac:dyDescent="0.25">
      <c r="A51" s="3"/>
      <c r="C51" s="175"/>
      <c r="D51" s="25"/>
      <c r="E51" s="25"/>
      <c r="F51" s="25"/>
      <c r="I51" s="92"/>
      <c r="J51" s="178"/>
      <c r="K51" s="178"/>
      <c r="L51" s="178"/>
      <c r="M51" s="13"/>
      <c r="N51" s="13"/>
      <c r="O51" s="13"/>
      <c r="P51" s="13"/>
      <c r="Q51" s="5"/>
      <c r="R51" s="5"/>
      <c r="S51" s="5"/>
      <c r="T51" s="5"/>
      <c r="U51" s="13"/>
      <c r="V51" s="5"/>
      <c r="W51" s="13"/>
      <c r="X51" s="13"/>
      <c r="Y51" s="13"/>
      <c r="Z51" s="13"/>
      <c r="AA51" s="13"/>
      <c r="AB51" s="13"/>
      <c r="AC51" s="13"/>
      <c r="AD51" s="5"/>
      <c r="AE51" s="5"/>
      <c r="AF51" s="5"/>
      <c r="AG51" s="5"/>
    </row>
    <row r="52" spans="1:33" ht="15" customHeight="1" x14ac:dyDescent="0.25">
      <c r="A52" s="3" t="s">
        <v>113</v>
      </c>
      <c r="B52" s="6" t="s">
        <v>113</v>
      </c>
      <c r="C52" s="13" t="s">
        <v>163</v>
      </c>
      <c r="D52" s="25" t="s">
        <v>36</v>
      </c>
      <c r="E52" s="25">
        <v>0.21641498822850716</v>
      </c>
      <c r="F52" s="5"/>
      <c r="I52" s="92"/>
      <c r="J52" s="178"/>
      <c r="K52" s="178"/>
      <c r="L52" s="178"/>
      <c r="M52" s="13"/>
      <c r="N52" s="13"/>
      <c r="O52" s="13"/>
      <c r="P52" s="13"/>
      <c r="Q52" s="5"/>
      <c r="R52" s="5"/>
      <c r="S52" s="5"/>
      <c r="T52" s="5"/>
      <c r="U52" s="13"/>
      <c r="V52" s="5"/>
      <c r="W52" s="13"/>
      <c r="X52" s="13"/>
      <c r="Y52" s="13"/>
      <c r="Z52" s="13"/>
      <c r="AA52" s="13"/>
      <c r="AB52" s="13"/>
      <c r="AC52" s="13"/>
      <c r="AD52" s="5"/>
      <c r="AE52" s="5"/>
      <c r="AF52" s="5"/>
      <c r="AG52" s="5"/>
    </row>
    <row r="53" spans="1:33" ht="15" customHeight="1" x14ac:dyDescent="0.25">
      <c r="A53" s="3"/>
      <c r="C53" s="5"/>
      <c r="D53" s="5"/>
      <c r="E53" s="5"/>
      <c r="F53" s="25"/>
      <c r="I53" s="92"/>
      <c r="J53" s="178"/>
      <c r="K53" s="178"/>
      <c r="L53" s="178"/>
      <c r="M53" s="13"/>
      <c r="N53" s="13"/>
      <c r="O53" s="13"/>
      <c r="P53" s="13"/>
      <c r="Q53" s="5"/>
      <c r="R53" s="5"/>
      <c r="S53" s="5"/>
      <c r="T53" s="5"/>
      <c r="U53" s="13"/>
      <c r="V53" s="5"/>
      <c r="W53" s="13"/>
      <c r="X53" s="13"/>
      <c r="Y53" s="13"/>
      <c r="Z53" s="13"/>
      <c r="AA53" s="13"/>
      <c r="AB53" s="13"/>
      <c r="AC53" s="13"/>
      <c r="AD53" s="5"/>
      <c r="AE53" s="5"/>
      <c r="AF53" s="5"/>
      <c r="AG53" s="5"/>
    </row>
    <row r="54" spans="1:33" ht="15" customHeight="1" x14ac:dyDescent="0.25">
      <c r="A54" s="3"/>
      <c r="D54" s="25"/>
      <c r="E54" s="25"/>
      <c r="F54" s="25"/>
      <c r="I54" s="92"/>
      <c r="J54" s="178"/>
      <c r="K54" s="178"/>
      <c r="L54" s="178"/>
      <c r="M54" s="13"/>
      <c r="N54" s="13"/>
      <c r="O54" s="13"/>
      <c r="P54" s="13"/>
      <c r="Q54" s="5"/>
      <c r="R54" s="5"/>
      <c r="S54" s="5"/>
      <c r="T54" s="5"/>
      <c r="U54" s="13"/>
      <c r="V54" s="5"/>
      <c r="W54" s="13"/>
      <c r="X54" s="13"/>
      <c r="Y54" s="13"/>
      <c r="Z54" s="13"/>
      <c r="AA54" s="13"/>
      <c r="AB54" s="13"/>
      <c r="AC54" s="13"/>
      <c r="AD54" s="5"/>
      <c r="AE54" s="5"/>
      <c r="AF54" s="5"/>
      <c r="AG54" s="5"/>
    </row>
    <row r="55" spans="1:33" s="6" customFormat="1" ht="13" x14ac:dyDescent="0.25">
      <c r="A55" s="3"/>
      <c r="D55" s="94"/>
      <c r="E55" s="25"/>
      <c r="F55" s="25"/>
      <c r="H55" s="91"/>
      <c r="I55" s="92"/>
      <c r="J55" s="178"/>
      <c r="K55" s="178"/>
      <c r="L55" s="178"/>
      <c r="M55" s="46"/>
      <c r="N55" s="13"/>
      <c r="O55" s="13"/>
      <c r="P55" s="13"/>
      <c r="Q55" s="5"/>
      <c r="R55" s="5"/>
      <c r="S55" s="5"/>
      <c r="T55" s="5"/>
      <c r="U55" s="13"/>
      <c r="V55" s="5"/>
      <c r="W55" s="13"/>
      <c r="X55" s="13"/>
      <c r="Y55" s="13"/>
      <c r="Z55" s="13"/>
      <c r="AA55" s="13"/>
      <c r="AB55" s="13"/>
      <c r="AC55" s="13"/>
      <c r="AD55" s="5"/>
      <c r="AE55" s="5"/>
      <c r="AF55" s="5"/>
      <c r="AG55" s="5"/>
    </row>
    <row r="56" spans="1:33" s="6" customFormat="1" ht="13" x14ac:dyDescent="0.25">
      <c r="A56" s="3"/>
      <c r="D56" s="94"/>
      <c r="E56" s="25"/>
      <c r="F56" s="25"/>
      <c r="H56" s="91"/>
      <c r="I56" s="92"/>
      <c r="J56" s="178"/>
      <c r="K56" s="178"/>
      <c r="L56" s="178"/>
      <c r="M56" s="46"/>
      <c r="N56" s="13"/>
      <c r="O56" s="13"/>
      <c r="P56" s="13"/>
      <c r="Q56" s="5"/>
      <c r="R56" s="5"/>
      <c r="S56" s="5"/>
      <c r="T56" s="5"/>
      <c r="U56" s="13"/>
      <c r="V56" s="5"/>
      <c r="W56" s="13"/>
      <c r="X56" s="13"/>
      <c r="Y56" s="13"/>
      <c r="Z56" s="13"/>
      <c r="AA56" s="13"/>
      <c r="AB56" s="13"/>
      <c r="AC56" s="13"/>
      <c r="AD56" s="5"/>
      <c r="AE56" s="5"/>
      <c r="AF56" s="5"/>
      <c r="AG56" s="5"/>
    </row>
    <row r="57" spans="1:33" s="6" customFormat="1" ht="13" x14ac:dyDescent="0.25">
      <c r="A57" s="3"/>
      <c r="D57" s="94"/>
      <c r="E57" s="25"/>
      <c r="F57" s="25"/>
      <c r="H57" s="91"/>
      <c r="I57" s="92"/>
      <c r="J57" s="178"/>
      <c r="K57" s="178"/>
      <c r="L57" s="178"/>
      <c r="M57" s="46"/>
      <c r="N57" s="13"/>
      <c r="O57" s="13"/>
      <c r="P57" s="13"/>
      <c r="Q57" s="5"/>
      <c r="R57" s="5"/>
      <c r="S57" s="5"/>
      <c r="T57" s="5"/>
      <c r="U57" s="13"/>
      <c r="V57" s="5"/>
      <c r="W57" s="13"/>
      <c r="X57" s="13"/>
      <c r="Y57" s="13"/>
      <c r="Z57" s="13"/>
      <c r="AA57" s="13"/>
      <c r="AB57" s="13"/>
      <c r="AC57" s="13"/>
      <c r="AD57" s="5"/>
      <c r="AE57" s="5"/>
      <c r="AF57" s="5"/>
      <c r="AG57" s="5"/>
    </row>
    <row r="58" spans="1:33" s="6" customFormat="1" ht="13" x14ac:dyDescent="0.25">
      <c r="A58" s="3"/>
      <c r="D58" s="94"/>
      <c r="E58" s="25"/>
      <c r="F58" s="25"/>
      <c r="H58" s="91"/>
      <c r="I58" s="92"/>
      <c r="J58" s="178"/>
      <c r="K58" s="178"/>
      <c r="L58" s="178"/>
      <c r="M58" s="46"/>
      <c r="N58" s="13"/>
      <c r="O58" s="13"/>
      <c r="P58" s="13"/>
      <c r="Q58" s="5"/>
      <c r="R58" s="5"/>
      <c r="S58" s="5"/>
      <c r="T58" s="5"/>
      <c r="U58" s="13"/>
      <c r="V58" s="5"/>
      <c r="W58" s="13"/>
      <c r="X58" s="13"/>
      <c r="Y58" s="13"/>
      <c r="Z58" s="13"/>
      <c r="AA58" s="13"/>
      <c r="AB58" s="13"/>
      <c r="AC58" s="13"/>
      <c r="AD58" s="5"/>
      <c r="AE58" s="5"/>
      <c r="AF58" s="5"/>
      <c r="AG58" s="5"/>
    </row>
    <row r="59" spans="1:33" s="6" customFormat="1" ht="13" x14ac:dyDescent="0.25">
      <c r="A59" s="3"/>
      <c r="D59" s="94"/>
      <c r="E59" s="25"/>
      <c r="F59" s="25"/>
      <c r="H59" s="91"/>
      <c r="I59" s="92"/>
      <c r="J59" s="178"/>
      <c r="K59" s="178"/>
      <c r="L59" s="178"/>
      <c r="M59" s="13"/>
      <c r="N59" s="13"/>
      <c r="O59" s="13"/>
      <c r="P59" s="13"/>
      <c r="Q59" s="5"/>
      <c r="R59" s="5"/>
      <c r="S59" s="5"/>
      <c r="T59" s="5"/>
      <c r="U59" s="13"/>
      <c r="V59" s="5"/>
      <c r="W59" s="13"/>
      <c r="X59" s="13"/>
      <c r="Y59" s="13"/>
      <c r="Z59" s="13"/>
      <c r="AA59" s="13"/>
      <c r="AB59" s="13"/>
      <c r="AC59" s="13"/>
      <c r="AD59" s="5"/>
      <c r="AE59" s="5"/>
      <c r="AF59" s="5"/>
      <c r="AG59" s="5"/>
    </row>
    <row r="60" spans="1:33" s="6" customFormat="1" ht="23.25" customHeight="1" x14ac:dyDescent="0.25">
      <c r="A60" s="3"/>
      <c r="C60" s="5" t="s">
        <v>134</v>
      </c>
      <c r="D60" s="94"/>
      <c r="E60" s="25"/>
      <c r="M60" s="98"/>
      <c r="N60" s="5"/>
      <c r="O60" s="98"/>
      <c r="P60" s="5"/>
      <c r="Q60" s="13"/>
      <c r="R60" s="5"/>
      <c r="S60" s="5"/>
      <c r="T60" s="5"/>
      <c r="U60" s="5"/>
      <c r="V60" s="5"/>
      <c r="W60" s="13"/>
      <c r="X60" s="13"/>
      <c r="Y60" s="13"/>
      <c r="Z60" s="13"/>
      <c r="AA60" s="13"/>
      <c r="AB60" s="13"/>
      <c r="AC60" s="13"/>
      <c r="AD60" s="5"/>
      <c r="AE60" s="5"/>
      <c r="AF60" s="5"/>
      <c r="AG60" s="5"/>
    </row>
    <row r="61" spans="1:33" s="6" customFormat="1" ht="14.5" customHeight="1" x14ac:dyDescent="0.25">
      <c r="A61" s="3"/>
      <c r="C61" s="5" t="s">
        <v>135</v>
      </c>
      <c r="M61" s="71"/>
      <c r="N61" s="43"/>
      <c r="O61" s="71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s="6" customFormat="1" x14ac:dyDescent="0.25">
      <c r="A62" s="3"/>
      <c r="C62" s="5"/>
      <c r="D62" s="5"/>
      <c r="E62" s="5"/>
      <c r="F62" s="13"/>
      <c r="G62" s="13"/>
      <c r="H62" s="13"/>
      <c r="I62" s="42" t="s">
        <v>45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s="6" customFormat="1" ht="13" x14ac:dyDescent="0.25">
      <c r="A63" s="3"/>
      <c r="C63" s="99" t="s">
        <v>174</v>
      </c>
      <c r="D63" s="13"/>
      <c r="E63" s="13"/>
      <c r="F63" s="13"/>
      <c r="G63" s="13"/>
      <c r="H63" s="13"/>
      <c r="I63" s="178"/>
      <c r="J63" s="178"/>
      <c r="K63" s="178"/>
      <c r="L63" s="178"/>
      <c r="M63" s="100"/>
      <c r="N63" s="100"/>
      <c r="O63" s="100"/>
      <c r="Q63" s="13"/>
      <c r="S63" s="211"/>
      <c r="T63" s="211"/>
      <c r="AF63" s="5"/>
      <c r="AG63" s="5"/>
    </row>
    <row r="64" spans="1:33" s="6" customFormat="1" ht="13" x14ac:dyDescent="0.25">
      <c r="A64" s="3"/>
      <c r="C64" s="99"/>
      <c r="D64" s="13"/>
      <c r="E64" s="13"/>
      <c r="F64" s="13"/>
      <c r="G64" s="13"/>
      <c r="H64" s="13"/>
      <c r="I64" s="178"/>
      <c r="J64" s="178"/>
      <c r="K64" s="178"/>
      <c r="L64" s="178"/>
      <c r="M64" s="100"/>
      <c r="N64" s="100"/>
      <c r="O64" s="100"/>
      <c r="Q64" s="13"/>
      <c r="S64" s="211"/>
      <c r="T64" s="211"/>
      <c r="AF64" s="5"/>
      <c r="AG64" s="5"/>
    </row>
    <row r="65" spans="1:33" s="6" customFormat="1" ht="13" x14ac:dyDescent="0.25">
      <c r="A65" s="3"/>
      <c r="C65" s="99"/>
      <c r="D65" s="13"/>
      <c r="E65" s="13"/>
      <c r="F65" s="13"/>
      <c r="G65" s="13"/>
      <c r="H65" s="13"/>
      <c r="I65" s="178"/>
      <c r="J65" s="178"/>
      <c r="K65" s="178"/>
      <c r="L65" s="178"/>
      <c r="M65" s="100"/>
      <c r="N65" s="100"/>
      <c r="O65" s="100"/>
      <c r="Q65" s="13"/>
      <c r="S65" s="211"/>
      <c r="T65" s="211"/>
      <c r="AF65" s="5"/>
      <c r="AG65" s="5"/>
    </row>
    <row r="66" spans="1:33" s="6" customFormat="1" ht="13" x14ac:dyDescent="0.25">
      <c r="A66" s="3"/>
      <c r="C66" s="99"/>
      <c r="D66" s="13"/>
      <c r="E66" s="13"/>
      <c r="F66" s="13"/>
      <c r="G66" s="13"/>
      <c r="H66" s="13"/>
      <c r="I66" s="178"/>
      <c r="J66" s="178"/>
      <c r="K66" s="178"/>
      <c r="L66" s="178"/>
      <c r="M66" s="100"/>
      <c r="N66" s="100"/>
      <c r="O66" s="100"/>
      <c r="Q66" s="13"/>
      <c r="S66" s="211"/>
      <c r="T66" s="211"/>
      <c r="AF66" s="5"/>
      <c r="AG66" s="5"/>
    </row>
    <row r="67" spans="1:33" s="6" customFormat="1" ht="13" x14ac:dyDescent="0.25">
      <c r="A67" s="3"/>
      <c r="C67" s="99"/>
      <c r="D67" s="13"/>
      <c r="E67" s="13"/>
      <c r="F67" s="13"/>
      <c r="G67" s="13"/>
      <c r="H67" s="13"/>
      <c r="I67" s="178"/>
      <c r="J67" s="178"/>
      <c r="K67" s="178"/>
      <c r="L67" s="178"/>
      <c r="M67" s="100"/>
      <c r="N67" s="100"/>
      <c r="O67" s="100"/>
      <c r="Q67" s="13"/>
      <c r="S67" s="211"/>
      <c r="T67" s="211"/>
      <c r="AF67" s="5"/>
      <c r="AG67" s="5"/>
    </row>
    <row r="68" spans="1:33" s="6" customFormat="1" ht="13" x14ac:dyDescent="0.25">
      <c r="A68" s="3"/>
      <c r="D68" s="13"/>
      <c r="E68" s="13"/>
      <c r="F68" s="13"/>
      <c r="G68" s="13"/>
      <c r="H68" s="13"/>
      <c r="I68" s="178"/>
      <c r="J68" s="178"/>
      <c r="K68" s="178"/>
      <c r="L68" s="178"/>
      <c r="M68" s="100"/>
      <c r="N68" s="100"/>
      <c r="O68" s="100"/>
      <c r="Q68" s="13"/>
      <c r="S68" s="211"/>
      <c r="T68" s="211"/>
      <c r="AF68" s="5"/>
      <c r="AG68" s="5"/>
    </row>
    <row r="69" spans="1:33" s="6" customFormat="1" ht="13" x14ac:dyDescent="0.25">
      <c r="A69" s="3"/>
      <c r="C69" s="99"/>
      <c r="D69" s="13"/>
      <c r="E69" s="13"/>
      <c r="F69" s="13"/>
      <c r="G69" s="13"/>
      <c r="H69" s="13"/>
      <c r="I69" s="178"/>
      <c r="J69" s="178"/>
      <c r="K69" s="178"/>
      <c r="L69" s="178"/>
      <c r="M69" s="100"/>
      <c r="N69" s="100"/>
      <c r="O69" s="100"/>
      <c r="Q69" s="13"/>
      <c r="S69" s="211"/>
      <c r="T69" s="211"/>
      <c r="AF69" s="5"/>
      <c r="AG69" s="5"/>
    </row>
    <row r="70" spans="1:33" s="6" customFormat="1" ht="13" x14ac:dyDescent="0.25">
      <c r="A70" s="3"/>
      <c r="C70" s="99"/>
      <c r="D70" s="13"/>
      <c r="E70" s="13"/>
      <c r="F70" s="13"/>
      <c r="G70" s="13"/>
      <c r="H70" s="13"/>
      <c r="I70" s="178"/>
      <c r="J70" s="178"/>
      <c r="K70" s="178"/>
      <c r="L70" s="178"/>
      <c r="M70" s="100"/>
      <c r="N70" s="100"/>
      <c r="O70" s="100"/>
      <c r="Q70" s="13"/>
      <c r="S70" s="211"/>
      <c r="T70" s="211"/>
      <c r="AF70" s="5"/>
      <c r="AG70" s="5"/>
    </row>
    <row r="71" spans="1:33" s="6" customFormat="1" ht="13" x14ac:dyDescent="0.25">
      <c r="A71" s="3"/>
      <c r="C71" s="99"/>
      <c r="D71" s="13"/>
      <c r="E71" s="13"/>
      <c r="F71" s="13"/>
      <c r="G71" s="13"/>
      <c r="H71" s="13"/>
      <c r="I71" s="178"/>
      <c r="J71" s="178"/>
      <c r="K71" s="178"/>
      <c r="L71" s="178"/>
      <c r="M71" s="100"/>
      <c r="N71" s="100"/>
      <c r="O71" s="100"/>
      <c r="Q71" s="13"/>
      <c r="S71" s="211"/>
      <c r="T71" s="211"/>
      <c r="AF71" s="5"/>
      <c r="AG71" s="5"/>
    </row>
    <row r="72" spans="1:33" s="6" customFormat="1" ht="13" x14ac:dyDescent="0.25">
      <c r="A72" s="3"/>
      <c r="C72" s="99"/>
      <c r="D72" s="13"/>
      <c r="E72" s="13"/>
      <c r="F72" s="13"/>
      <c r="G72" s="13"/>
      <c r="H72" s="13"/>
      <c r="I72" s="178"/>
      <c r="J72" s="178"/>
      <c r="K72" s="178"/>
      <c r="L72" s="178"/>
      <c r="M72" s="100"/>
      <c r="N72" s="100"/>
      <c r="O72" s="100"/>
      <c r="Q72" s="13"/>
      <c r="S72" s="211"/>
      <c r="T72" s="211"/>
      <c r="AF72" s="5"/>
      <c r="AG72" s="5"/>
    </row>
    <row r="73" spans="1:33" s="6" customFormat="1" ht="13" x14ac:dyDescent="0.25">
      <c r="A73" s="3"/>
      <c r="C73" s="99"/>
      <c r="D73" s="13"/>
      <c r="E73" s="13"/>
      <c r="F73" s="13"/>
      <c r="G73" s="13"/>
      <c r="H73" s="13"/>
      <c r="I73" s="178"/>
      <c r="J73" s="178"/>
      <c r="K73" s="178"/>
      <c r="L73" s="178"/>
      <c r="M73" s="100"/>
      <c r="N73" s="100"/>
      <c r="O73" s="100"/>
      <c r="Q73" s="13"/>
      <c r="S73" s="211"/>
      <c r="T73" s="211"/>
      <c r="AF73" s="5"/>
      <c r="AG73" s="5"/>
    </row>
    <row r="74" spans="1:33" s="6" customFormat="1" ht="13" x14ac:dyDescent="0.25">
      <c r="A74" s="3"/>
      <c r="C74" s="99"/>
      <c r="D74" s="13"/>
      <c r="E74" s="13"/>
      <c r="F74" s="13"/>
      <c r="G74" s="13"/>
      <c r="H74" s="13"/>
      <c r="I74" s="178"/>
      <c r="J74" s="178"/>
      <c r="K74" s="178"/>
      <c r="L74" s="178"/>
      <c r="M74" s="100"/>
      <c r="N74" s="100"/>
      <c r="O74" s="100"/>
      <c r="Q74" s="13"/>
      <c r="S74" s="211"/>
      <c r="T74" s="211"/>
      <c r="AF74" s="5"/>
      <c r="AG74" s="5"/>
    </row>
    <row r="75" spans="1:33" s="6" customFormat="1" ht="13" x14ac:dyDescent="0.25">
      <c r="A75" s="3"/>
      <c r="C75" s="99"/>
      <c r="D75" s="13"/>
      <c r="E75" s="13"/>
      <c r="F75" s="13"/>
      <c r="G75" s="13"/>
      <c r="H75" s="13"/>
      <c r="I75" s="178"/>
      <c r="J75" s="178"/>
      <c r="K75" s="178"/>
      <c r="L75" s="178"/>
      <c r="M75" s="100"/>
      <c r="N75" s="100"/>
      <c r="O75" s="100"/>
      <c r="Q75" s="13"/>
      <c r="S75" s="211"/>
      <c r="T75" s="211"/>
      <c r="AF75" s="5"/>
      <c r="AG75" s="5"/>
    </row>
    <row r="76" spans="1:33" s="6" customFormat="1" ht="13" x14ac:dyDescent="0.25">
      <c r="A76" s="3"/>
      <c r="C76" s="99"/>
      <c r="D76" s="13"/>
      <c r="E76" s="13"/>
      <c r="F76" s="13"/>
      <c r="G76" s="13"/>
      <c r="H76" s="13"/>
      <c r="I76" s="178"/>
      <c r="J76" s="178"/>
      <c r="K76" s="178"/>
      <c r="L76" s="178"/>
      <c r="M76" s="100"/>
      <c r="N76" s="100"/>
      <c r="O76" s="100"/>
      <c r="Q76" s="13"/>
      <c r="S76" s="211"/>
      <c r="T76" s="211"/>
      <c r="AF76" s="5"/>
      <c r="AG76" s="5"/>
    </row>
    <row r="77" spans="1:33" s="6" customFormat="1" ht="13" x14ac:dyDescent="0.25">
      <c r="A77" s="3"/>
      <c r="C77" s="99"/>
      <c r="D77" s="13"/>
      <c r="E77" s="13"/>
      <c r="F77" s="13"/>
      <c r="G77" s="13"/>
      <c r="H77" s="13"/>
      <c r="I77" s="178"/>
      <c r="J77" s="178"/>
      <c r="K77" s="178"/>
      <c r="L77" s="178"/>
      <c r="M77" s="100"/>
      <c r="N77" s="100"/>
      <c r="O77" s="100"/>
      <c r="Q77" s="13"/>
      <c r="S77" s="211"/>
      <c r="T77" s="211"/>
      <c r="AF77" s="5"/>
      <c r="AG77" s="5"/>
    </row>
    <row r="78" spans="1:33" s="6" customFormat="1" ht="13" x14ac:dyDescent="0.25">
      <c r="A78" s="3"/>
      <c r="C78" s="99"/>
      <c r="D78" s="13"/>
      <c r="E78" s="13"/>
      <c r="F78" s="13"/>
      <c r="G78" s="13"/>
      <c r="H78" s="13"/>
      <c r="I78" s="178"/>
      <c r="J78" s="178"/>
      <c r="K78" s="178"/>
      <c r="L78" s="178"/>
      <c r="M78" s="100"/>
      <c r="N78" s="100"/>
      <c r="O78" s="100"/>
      <c r="Q78" s="13"/>
      <c r="S78" s="211"/>
      <c r="T78" s="211"/>
      <c r="AF78" s="5"/>
      <c r="AG78" s="5"/>
    </row>
    <row r="79" spans="1:33" s="6" customFormat="1" ht="13" x14ac:dyDescent="0.25">
      <c r="A79" s="3"/>
      <c r="B79" s="99" t="s">
        <v>175</v>
      </c>
      <c r="C79" s="99"/>
      <c r="D79" s="13"/>
      <c r="E79" s="13"/>
      <c r="F79" s="13"/>
      <c r="G79" s="13"/>
      <c r="H79" s="13"/>
      <c r="I79" s="178"/>
      <c r="J79" s="178"/>
      <c r="K79" s="178"/>
      <c r="L79" s="178"/>
      <c r="M79" s="100"/>
      <c r="N79" s="100"/>
      <c r="O79" s="100"/>
      <c r="Q79" s="13"/>
      <c r="S79" s="211"/>
      <c r="T79" s="211"/>
      <c r="AF79" s="5"/>
      <c r="AG79" s="5"/>
    </row>
    <row r="80" spans="1:33" s="6" customFormat="1" ht="13" x14ac:dyDescent="0.25">
      <c r="A80" s="3"/>
      <c r="C80" s="99"/>
      <c r="D80" s="13"/>
      <c r="E80" s="13"/>
      <c r="F80" s="13"/>
      <c r="G80" s="13"/>
      <c r="H80" s="13"/>
      <c r="I80" s="178"/>
      <c r="J80" s="178"/>
      <c r="K80" s="178"/>
      <c r="L80" s="178"/>
      <c r="M80" s="100"/>
      <c r="N80" s="100"/>
      <c r="O80" s="100"/>
      <c r="Q80" s="13"/>
      <c r="S80" s="211"/>
      <c r="T80" s="211"/>
      <c r="AF80" s="5"/>
      <c r="AG80" s="5"/>
    </row>
    <row r="81" spans="1:33" s="6" customFormat="1" ht="13" x14ac:dyDescent="0.25">
      <c r="A81" s="3"/>
      <c r="C81" s="99"/>
      <c r="D81" s="13"/>
      <c r="E81" s="13"/>
      <c r="F81" s="13"/>
      <c r="G81" s="13"/>
      <c r="H81" s="13"/>
      <c r="I81" s="178"/>
      <c r="J81" s="178"/>
      <c r="K81" s="178"/>
      <c r="L81" s="178"/>
      <c r="M81" s="100"/>
      <c r="N81" s="100"/>
      <c r="O81" s="100"/>
      <c r="Q81" s="13"/>
      <c r="S81" s="211"/>
      <c r="T81" s="211"/>
      <c r="AF81" s="5"/>
      <c r="AG81" s="5"/>
    </row>
    <row r="82" spans="1:33" s="6" customFormat="1" ht="13" x14ac:dyDescent="0.25">
      <c r="A82" s="3"/>
      <c r="D82" s="13"/>
      <c r="E82" s="13"/>
      <c r="F82" s="179"/>
      <c r="G82" s="212"/>
      <c r="H82" s="212"/>
      <c r="I82" s="178"/>
      <c r="J82" s="178"/>
      <c r="K82" s="178"/>
      <c r="L82" s="178"/>
      <c r="M82" s="100"/>
      <c r="N82" s="100"/>
      <c r="O82" s="100"/>
      <c r="S82" s="211"/>
      <c r="T82" s="211"/>
      <c r="AF82" s="5"/>
      <c r="AG82" s="5"/>
    </row>
    <row r="83" spans="1:33" s="6" customFormat="1" x14ac:dyDescent="0.25">
      <c r="A83" s="101" t="s">
        <v>116</v>
      </c>
      <c r="B83" s="2"/>
      <c r="D83" s="212"/>
      <c r="E83" s="212"/>
      <c r="F83" s="32"/>
      <c r="AF83" s="5"/>
      <c r="AG83" s="5"/>
    </row>
    <row r="84" spans="1:33" s="6" customFormat="1" ht="14.5" customHeight="1" x14ac:dyDescent="0.25">
      <c r="A84" s="101" t="s">
        <v>54</v>
      </c>
      <c r="B84" s="2"/>
      <c r="D84" s="32"/>
      <c r="E84" s="32"/>
    </row>
    <row r="85" spans="1:33" s="6" customFormat="1" x14ac:dyDescent="0.25">
      <c r="A85" s="101" t="s">
        <v>74</v>
      </c>
      <c r="B85" s="2"/>
    </row>
    <row r="86" spans="1:33" s="6" customFormat="1" x14ac:dyDescent="0.25">
      <c r="A86" s="7" t="s">
        <v>119</v>
      </c>
      <c r="B86" s="5"/>
    </row>
    <row r="87" spans="1:33" s="6" customFormat="1" x14ac:dyDescent="0.25">
      <c r="A87" s="102"/>
      <c r="B87" s="94"/>
    </row>
    <row r="88" spans="1:33" s="6" customFormat="1" ht="13" x14ac:dyDescent="0.3">
      <c r="A88" s="103" t="s">
        <v>176</v>
      </c>
      <c r="B88" s="44"/>
    </row>
    <row r="89" spans="1:33" s="6" customFormat="1" x14ac:dyDescent="0.25">
      <c r="A89" s="7"/>
      <c r="B89" s="5"/>
    </row>
    <row r="90" spans="1:33" s="6" customFormat="1" x14ac:dyDescent="0.25">
      <c r="A90" s="7"/>
      <c r="B90" s="5"/>
    </row>
    <row r="91" spans="1:33" s="6" customFormat="1" ht="13" x14ac:dyDescent="0.25">
      <c r="A91" s="27" t="s">
        <v>37</v>
      </c>
      <c r="B91" s="41"/>
    </row>
    <row r="92" spans="1:33" s="6" customFormat="1" x14ac:dyDescent="0.25">
      <c r="A92" s="3" t="s">
        <v>65</v>
      </c>
    </row>
    <row r="93" spans="1:33" s="6" customFormat="1" x14ac:dyDescent="0.25">
      <c r="A93" s="3"/>
    </row>
    <row r="94" spans="1:33" s="6" customFormat="1" x14ac:dyDescent="0.25">
      <c r="A94" s="3"/>
    </row>
    <row r="95" spans="1:33" s="6" customFormat="1" x14ac:dyDescent="0.25">
      <c r="A95" s="3"/>
    </row>
    <row r="96" spans="1:33" s="6" customFormat="1" x14ac:dyDescent="0.25">
      <c r="A96" s="3"/>
    </row>
    <row r="97" spans="1:6" s="6" customFormat="1" x14ac:dyDescent="0.25">
      <c r="A97" s="3"/>
    </row>
    <row r="98" spans="1:6" s="6" customFormat="1" x14ac:dyDescent="0.25">
      <c r="A98" s="3"/>
    </row>
    <row r="99" spans="1:6" s="6" customFormat="1" x14ac:dyDescent="0.25">
      <c r="A99" s="3"/>
    </row>
    <row r="100" spans="1:6" s="6" customFormat="1" x14ac:dyDescent="0.25">
      <c r="A100" s="3"/>
    </row>
    <row r="101" spans="1:6" s="6" customFormat="1" x14ac:dyDescent="0.25">
      <c r="A101" s="3"/>
    </row>
    <row r="102" spans="1:6" s="6" customFormat="1" x14ac:dyDescent="0.25">
      <c r="A102" s="3"/>
    </row>
    <row r="103" spans="1:6" s="6" customFormat="1" x14ac:dyDescent="0.25">
      <c r="A103" s="3"/>
    </row>
    <row r="104" spans="1:6" s="6" customFormat="1" x14ac:dyDescent="0.25">
      <c r="A104" s="3"/>
    </row>
    <row r="105" spans="1:6" s="6" customFormat="1" x14ac:dyDescent="0.25">
      <c r="A105" s="3"/>
    </row>
    <row r="106" spans="1:6" s="6" customFormat="1" x14ac:dyDescent="0.25">
      <c r="A106" s="3"/>
      <c r="F106" s="36"/>
    </row>
    <row r="107" spans="1:6" s="6" customFormat="1" x14ac:dyDescent="0.25">
      <c r="A107" s="3"/>
      <c r="F107" s="36"/>
    </row>
    <row r="108" spans="1:6" s="6" customFormat="1" x14ac:dyDescent="0.25">
      <c r="A108" s="3"/>
      <c r="F108" s="36"/>
    </row>
    <row r="109" spans="1:6" s="6" customFormat="1" x14ac:dyDescent="0.25">
      <c r="A109" s="3"/>
      <c r="F109" s="36"/>
    </row>
    <row r="110" spans="1:6" s="6" customFormat="1" x14ac:dyDescent="0.25">
      <c r="A110" s="3"/>
      <c r="F110" s="36"/>
    </row>
    <row r="111" spans="1:6" s="6" customFormat="1" x14ac:dyDescent="0.25">
      <c r="A111" s="3"/>
      <c r="F111" s="36"/>
    </row>
    <row r="112" spans="1:6" s="6" customFormat="1" x14ac:dyDescent="0.25">
      <c r="A112" s="3"/>
      <c r="F112" s="36"/>
    </row>
    <row r="113" spans="1:6" s="6" customFormat="1" x14ac:dyDescent="0.25">
      <c r="A113" s="3"/>
      <c r="F113" s="36"/>
    </row>
    <row r="114" spans="1:6" s="6" customFormat="1" x14ac:dyDescent="0.25">
      <c r="A114" s="3"/>
      <c r="F114" s="36"/>
    </row>
    <row r="115" spans="1:6" s="6" customFormat="1" x14ac:dyDescent="0.25">
      <c r="A115" s="3"/>
      <c r="F115" s="36"/>
    </row>
    <row r="116" spans="1:6" s="6" customFormat="1" x14ac:dyDescent="0.25">
      <c r="A116" s="3"/>
      <c r="F116" s="36"/>
    </row>
    <row r="117" spans="1:6" s="6" customFormat="1" x14ac:dyDescent="0.25">
      <c r="A117" s="3"/>
      <c r="F117" s="36"/>
    </row>
    <row r="118" spans="1:6" s="6" customFormat="1" x14ac:dyDescent="0.25">
      <c r="A118" s="3"/>
      <c r="F118" s="36"/>
    </row>
    <row r="119" spans="1:6" s="6" customFormat="1" x14ac:dyDescent="0.25">
      <c r="A119" s="3"/>
      <c r="F119" s="36"/>
    </row>
    <row r="120" spans="1:6" s="6" customFormat="1" x14ac:dyDescent="0.25">
      <c r="A120" s="3"/>
      <c r="F120" s="36"/>
    </row>
    <row r="121" spans="1:6" s="6" customFormat="1" x14ac:dyDescent="0.25">
      <c r="A121" s="3"/>
      <c r="F121" s="36"/>
    </row>
    <row r="122" spans="1:6" s="6" customFormat="1" x14ac:dyDescent="0.25">
      <c r="A122" s="3"/>
      <c r="F122" s="36"/>
    </row>
    <row r="123" spans="1:6" s="6" customFormat="1" x14ac:dyDescent="0.25">
      <c r="A123" s="3"/>
      <c r="F123" s="36"/>
    </row>
    <row r="124" spans="1:6" s="6" customFormat="1" x14ac:dyDescent="0.25">
      <c r="A124" s="3"/>
      <c r="F124" s="36"/>
    </row>
    <row r="125" spans="1:6" s="6" customFormat="1" x14ac:dyDescent="0.25">
      <c r="A125" s="3"/>
      <c r="F125" s="36"/>
    </row>
    <row r="126" spans="1:6" s="6" customFormat="1" x14ac:dyDescent="0.25">
      <c r="A126" s="3"/>
      <c r="F126" s="36"/>
    </row>
    <row r="127" spans="1:6" s="6" customFormat="1" x14ac:dyDescent="0.25">
      <c r="A127" s="3"/>
      <c r="F127" s="36"/>
    </row>
    <row r="128" spans="1:6" s="6" customFormat="1" x14ac:dyDescent="0.25">
      <c r="A128" s="3"/>
      <c r="F128" s="36"/>
    </row>
    <row r="129" spans="1:6" s="6" customFormat="1" x14ac:dyDescent="0.25">
      <c r="A129" s="3"/>
      <c r="F129" s="36"/>
    </row>
    <row r="130" spans="1:6" s="6" customFormat="1" x14ac:dyDescent="0.25">
      <c r="A130" s="3"/>
      <c r="F130" s="36"/>
    </row>
    <row r="131" spans="1:6" s="6" customFormat="1" x14ac:dyDescent="0.25">
      <c r="A131" s="3"/>
      <c r="F131" s="36"/>
    </row>
    <row r="132" spans="1:6" s="6" customFormat="1" x14ac:dyDescent="0.25">
      <c r="A132" s="3"/>
      <c r="F132" s="36"/>
    </row>
    <row r="133" spans="1:6" s="6" customFormat="1" x14ac:dyDescent="0.25">
      <c r="A133" s="3"/>
      <c r="F133" s="36"/>
    </row>
    <row r="134" spans="1:6" s="6" customFormat="1" x14ac:dyDescent="0.25">
      <c r="A134" s="3"/>
      <c r="F134" s="36"/>
    </row>
    <row r="135" spans="1:6" s="6" customFormat="1" x14ac:dyDescent="0.25">
      <c r="A135" s="3"/>
      <c r="F135" s="36"/>
    </row>
    <row r="136" spans="1:6" s="6" customFormat="1" x14ac:dyDescent="0.25">
      <c r="A136" s="3"/>
      <c r="F136" s="36"/>
    </row>
    <row r="137" spans="1:6" s="6" customFormat="1" x14ac:dyDescent="0.25">
      <c r="A137" s="3"/>
      <c r="F137" s="36"/>
    </row>
    <row r="138" spans="1:6" s="6" customFormat="1" x14ac:dyDescent="0.25">
      <c r="A138" s="3"/>
      <c r="F138" s="36"/>
    </row>
    <row r="139" spans="1:6" s="6" customFormat="1" x14ac:dyDescent="0.25">
      <c r="A139" s="3"/>
      <c r="F139" s="36"/>
    </row>
    <row r="140" spans="1:6" s="6" customFormat="1" x14ac:dyDescent="0.25">
      <c r="A140" s="3"/>
      <c r="F140" s="36"/>
    </row>
    <row r="141" spans="1:6" s="6" customFormat="1" x14ac:dyDescent="0.25">
      <c r="A141" s="3"/>
      <c r="F141" s="36"/>
    </row>
    <row r="142" spans="1:6" s="6" customFormat="1" x14ac:dyDescent="0.25">
      <c r="A142" s="3"/>
      <c r="F142" s="36"/>
    </row>
    <row r="143" spans="1:6" s="6" customFormat="1" x14ac:dyDescent="0.25">
      <c r="A143" s="3"/>
      <c r="F143" s="36"/>
    </row>
    <row r="144" spans="1:6" s="6" customFormat="1" x14ac:dyDescent="0.25">
      <c r="A144" s="3"/>
      <c r="F144" s="36"/>
    </row>
    <row r="145" spans="1:1" s="6" customFormat="1" x14ac:dyDescent="0.25">
      <c r="A145" s="3"/>
    </row>
    <row r="146" spans="1:1" s="6" customFormat="1" x14ac:dyDescent="0.25">
      <c r="A146" s="3"/>
    </row>
    <row r="147" spans="1:1" s="6" customFormat="1" x14ac:dyDescent="0.25">
      <c r="A147" s="3"/>
    </row>
    <row r="148" spans="1:1" s="6" customFormat="1" x14ac:dyDescent="0.25">
      <c r="A148" s="3"/>
    </row>
    <row r="149" spans="1:1" s="6" customFormat="1" x14ac:dyDescent="0.25">
      <c r="A149" s="3"/>
    </row>
    <row r="150" spans="1:1" s="6" customFormat="1" x14ac:dyDescent="0.25">
      <c r="A150" s="3"/>
    </row>
    <row r="151" spans="1:1" s="6" customFormat="1" x14ac:dyDescent="0.25">
      <c r="A151" s="3"/>
    </row>
    <row r="152" spans="1:1" s="6" customFormat="1" x14ac:dyDescent="0.25">
      <c r="A152" s="3"/>
    </row>
    <row r="153" spans="1:1" s="6" customFormat="1" x14ac:dyDescent="0.25">
      <c r="A153" s="3"/>
    </row>
    <row r="154" spans="1:1" s="6" customFormat="1" x14ac:dyDescent="0.25">
      <c r="A154" s="3"/>
    </row>
    <row r="155" spans="1:1" s="6" customFormat="1" x14ac:dyDescent="0.25">
      <c r="A155" s="3"/>
    </row>
    <row r="156" spans="1:1" s="6" customFormat="1" x14ac:dyDescent="0.25">
      <c r="A156" s="3"/>
    </row>
    <row r="157" spans="1:1" s="6" customFormat="1" x14ac:dyDescent="0.25">
      <c r="A157" s="3"/>
    </row>
    <row r="158" spans="1:1" s="6" customFormat="1" x14ac:dyDescent="0.25">
      <c r="A158" s="3"/>
    </row>
    <row r="159" spans="1:1" s="6" customFormat="1" x14ac:dyDescent="0.25">
      <c r="A159" s="3"/>
    </row>
    <row r="160" spans="1:1" s="6" customFormat="1" x14ac:dyDescent="0.25">
      <c r="A160" s="3"/>
    </row>
    <row r="161" spans="1:1" s="6" customFormat="1" x14ac:dyDescent="0.25">
      <c r="A161" s="3"/>
    </row>
    <row r="162" spans="1:1" s="6" customFormat="1" x14ac:dyDescent="0.25">
      <c r="A162" s="3"/>
    </row>
    <row r="163" spans="1:1" s="6" customFormat="1" x14ac:dyDescent="0.25">
      <c r="A163" s="3"/>
    </row>
    <row r="164" spans="1:1" s="6" customFormat="1" x14ac:dyDescent="0.25">
      <c r="A164" s="3"/>
    </row>
    <row r="165" spans="1:1" s="6" customFormat="1" x14ac:dyDescent="0.25">
      <c r="A165" s="3"/>
    </row>
    <row r="166" spans="1:1" s="6" customFormat="1" x14ac:dyDescent="0.25">
      <c r="A166" s="3"/>
    </row>
    <row r="167" spans="1:1" s="6" customFormat="1" x14ac:dyDescent="0.25">
      <c r="A167" s="3"/>
    </row>
    <row r="168" spans="1:1" s="6" customFormat="1" x14ac:dyDescent="0.25">
      <c r="A168" s="3"/>
    </row>
    <row r="169" spans="1:1" s="6" customFormat="1" x14ac:dyDescent="0.25">
      <c r="A169" s="3"/>
    </row>
    <row r="170" spans="1:1" s="6" customFormat="1" x14ac:dyDescent="0.25">
      <c r="A170" s="3"/>
    </row>
    <row r="171" spans="1:1" s="6" customFormat="1" x14ac:dyDescent="0.25">
      <c r="A171" s="3"/>
    </row>
    <row r="172" spans="1:1" s="6" customFormat="1" x14ac:dyDescent="0.25">
      <c r="A172" s="3"/>
    </row>
    <row r="173" spans="1:1" s="6" customFormat="1" x14ac:dyDescent="0.25">
      <c r="A173" s="3"/>
    </row>
    <row r="174" spans="1:1" s="6" customFormat="1" x14ac:dyDescent="0.25">
      <c r="A174" s="3"/>
    </row>
    <row r="175" spans="1:1" s="6" customFormat="1" x14ac:dyDescent="0.25">
      <c r="A175" s="3"/>
    </row>
    <row r="176" spans="1:1" s="6" customFormat="1" x14ac:dyDescent="0.25">
      <c r="A176" s="3"/>
    </row>
    <row r="177" spans="1:1" s="6" customFormat="1" x14ac:dyDescent="0.25">
      <c r="A177" s="3"/>
    </row>
    <row r="178" spans="1:1" s="6" customFormat="1" x14ac:dyDescent="0.25">
      <c r="A178" s="3"/>
    </row>
    <row r="179" spans="1:1" s="6" customFormat="1" x14ac:dyDescent="0.25">
      <c r="A179" s="3"/>
    </row>
    <row r="180" spans="1:1" s="6" customFormat="1" x14ac:dyDescent="0.25">
      <c r="A180" s="3"/>
    </row>
    <row r="181" spans="1:1" s="6" customFormat="1" x14ac:dyDescent="0.25">
      <c r="A181" s="3"/>
    </row>
    <row r="182" spans="1:1" s="6" customFormat="1" x14ac:dyDescent="0.25">
      <c r="A182" s="3"/>
    </row>
    <row r="183" spans="1:1" s="6" customFormat="1" x14ac:dyDescent="0.25">
      <c r="A183" s="3"/>
    </row>
    <row r="184" spans="1:1" s="6" customFormat="1" x14ac:dyDescent="0.25">
      <c r="A184" s="3"/>
    </row>
    <row r="185" spans="1:1" s="6" customFormat="1" x14ac:dyDescent="0.25">
      <c r="A185" s="3"/>
    </row>
    <row r="186" spans="1:1" s="6" customFormat="1" x14ac:dyDescent="0.25">
      <c r="A186" s="3"/>
    </row>
    <row r="187" spans="1:1" s="6" customFormat="1" x14ac:dyDescent="0.25">
      <c r="A187" s="3"/>
    </row>
    <row r="188" spans="1:1" s="6" customFormat="1" x14ac:dyDescent="0.25">
      <c r="A188" s="3"/>
    </row>
    <row r="189" spans="1:1" s="6" customFormat="1" x14ac:dyDescent="0.25">
      <c r="A189" s="3"/>
    </row>
    <row r="190" spans="1:1" s="6" customFormat="1" x14ac:dyDescent="0.25">
      <c r="A190" s="3"/>
    </row>
    <row r="191" spans="1:1" s="6" customFormat="1" x14ac:dyDescent="0.25">
      <c r="A191" s="3"/>
    </row>
    <row r="192" spans="1:1" s="6" customFormat="1" x14ac:dyDescent="0.25">
      <c r="A192" s="3"/>
    </row>
    <row r="193" spans="1:1" s="6" customFormat="1" x14ac:dyDescent="0.25">
      <c r="A193" s="3"/>
    </row>
    <row r="194" spans="1:1" s="6" customFormat="1" x14ac:dyDescent="0.25">
      <c r="A194" s="3"/>
    </row>
    <row r="195" spans="1:1" s="6" customFormat="1" x14ac:dyDescent="0.25">
      <c r="A195" s="3"/>
    </row>
    <row r="196" spans="1:1" s="6" customFormat="1" x14ac:dyDescent="0.25">
      <c r="A196" s="3"/>
    </row>
    <row r="197" spans="1:1" s="6" customFormat="1" x14ac:dyDescent="0.25">
      <c r="A197" s="3"/>
    </row>
    <row r="198" spans="1:1" s="6" customFormat="1" x14ac:dyDescent="0.25">
      <c r="A198" s="3"/>
    </row>
    <row r="199" spans="1:1" s="6" customFormat="1" x14ac:dyDescent="0.25">
      <c r="A199" s="3"/>
    </row>
    <row r="200" spans="1:1" s="6" customFormat="1" x14ac:dyDescent="0.25">
      <c r="A200" s="3"/>
    </row>
    <row r="201" spans="1:1" s="6" customFormat="1" x14ac:dyDescent="0.25">
      <c r="A201" s="3"/>
    </row>
    <row r="202" spans="1:1" s="6" customFormat="1" x14ac:dyDescent="0.25">
      <c r="A202" s="3"/>
    </row>
    <row r="203" spans="1:1" s="6" customFormat="1" x14ac:dyDescent="0.25">
      <c r="A203" s="3"/>
    </row>
    <row r="204" spans="1:1" s="6" customFormat="1" x14ac:dyDescent="0.25">
      <c r="A204" s="3"/>
    </row>
    <row r="205" spans="1:1" s="6" customFormat="1" x14ac:dyDescent="0.25">
      <c r="A205" s="3"/>
    </row>
    <row r="206" spans="1:1" s="6" customFormat="1" x14ac:dyDescent="0.25">
      <c r="A206" s="3"/>
    </row>
    <row r="207" spans="1:1" s="6" customFormat="1" x14ac:dyDescent="0.25">
      <c r="A207" s="3"/>
    </row>
    <row r="208" spans="1:1" s="6" customFormat="1" x14ac:dyDescent="0.25">
      <c r="A208" s="3"/>
    </row>
    <row r="209" spans="1:1026" s="6" customFormat="1" x14ac:dyDescent="0.25">
      <c r="A209" s="3"/>
    </row>
    <row r="210" spans="1:1026" s="6" customFormat="1" x14ac:dyDescent="0.25">
      <c r="A210" s="3"/>
    </row>
    <row r="211" spans="1:1026" s="6" customFormat="1" x14ac:dyDescent="0.25">
      <c r="A211" s="3"/>
    </row>
    <row r="212" spans="1:1026" s="6" customFormat="1" x14ac:dyDescent="0.25">
      <c r="A212" s="3"/>
    </row>
    <row r="213" spans="1:1026" x14ac:dyDescent="0.25">
      <c r="A213" s="3"/>
      <c r="AMJ213" s="5"/>
      <c r="AMK213" s="5"/>
      <c r="AML213" s="5"/>
    </row>
    <row r="214" spans="1:1026" x14ac:dyDescent="0.25">
      <c r="A214" s="3"/>
      <c r="AMJ214" s="5"/>
      <c r="AMK214" s="5"/>
      <c r="AML214" s="5"/>
    </row>
    <row r="215" spans="1:1026" x14ac:dyDescent="0.25">
      <c r="A215" s="3"/>
      <c r="AMJ215" s="5"/>
      <c r="AMK215" s="5"/>
      <c r="AML215" s="5"/>
    </row>
    <row r="216" spans="1:1026" x14ac:dyDescent="0.25">
      <c r="A216" s="3"/>
      <c r="AMJ216" s="5"/>
      <c r="AMK216" s="5"/>
      <c r="AML216" s="5"/>
    </row>
    <row r="217" spans="1:1026" x14ac:dyDescent="0.25">
      <c r="A217" s="3"/>
      <c r="AMJ217" s="5"/>
      <c r="AMK217" s="5"/>
      <c r="AML217" s="5"/>
    </row>
    <row r="218" spans="1:1026" x14ac:dyDescent="0.25">
      <c r="A218" s="3"/>
      <c r="AMJ218" s="5"/>
      <c r="AMK218" s="5"/>
      <c r="AML218" s="5"/>
    </row>
    <row r="219" spans="1:1026" x14ac:dyDescent="0.25">
      <c r="A219" s="3"/>
    </row>
    <row r="220" spans="1:1026" x14ac:dyDescent="0.25">
      <c r="A220" s="3"/>
    </row>
    <row r="221" spans="1:1026" x14ac:dyDescent="0.25">
      <c r="A221" s="3"/>
    </row>
    <row r="222" spans="1:1026" x14ac:dyDescent="0.25">
      <c r="A222" s="3"/>
    </row>
    <row r="223" spans="1:1026" x14ac:dyDescent="0.25">
      <c r="A223" s="3"/>
    </row>
    <row r="224" spans="1:1026" x14ac:dyDescent="0.25">
      <c r="A224" s="3"/>
    </row>
    <row r="225" spans="1:8" x14ac:dyDescent="0.25">
      <c r="A225" s="3"/>
    </row>
    <row r="226" spans="1:8" x14ac:dyDescent="0.25">
      <c r="A226" s="3"/>
    </row>
    <row r="227" spans="1:8" x14ac:dyDescent="0.25">
      <c r="A227" s="3"/>
    </row>
    <row r="228" spans="1:8" x14ac:dyDescent="0.25">
      <c r="A228" s="3"/>
    </row>
    <row r="229" spans="1:8" s="6" customFormat="1" x14ac:dyDescent="0.25">
      <c r="A229" s="3"/>
      <c r="F229" s="36"/>
      <c r="G229" s="36"/>
      <c r="H229" s="36"/>
    </row>
    <row r="230" spans="1:8" s="6" customFormat="1" x14ac:dyDescent="0.25">
      <c r="A230" s="3"/>
      <c r="F230" s="36"/>
      <c r="G230" s="36"/>
      <c r="H230" s="36"/>
    </row>
    <row r="231" spans="1:8" s="6" customFormat="1" x14ac:dyDescent="0.25">
      <c r="A231" s="3"/>
      <c r="F231" s="36"/>
      <c r="G231" s="36"/>
      <c r="H231" s="36"/>
    </row>
    <row r="232" spans="1:8" s="6" customFormat="1" x14ac:dyDescent="0.25">
      <c r="A232" s="3"/>
      <c r="F232" s="36"/>
      <c r="G232" s="36"/>
      <c r="H232" s="36"/>
    </row>
    <row r="233" spans="1:8" s="6" customFormat="1" x14ac:dyDescent="0.25">
      <c r="A233" s="3"/>
      <c r="F233" s="36"/>
      <c r="G233" s="36"/>
      <c r="H233" s="36"/>
    </row>
    <row r="234" spans="1:8" s="6" customFormat="1" x14ac:dyDescent="0.25">
      <c r="A234" s="3"/>
      <c r="F234" s="36"/>
      <c r="G234" s="36"/>
      <c r="H234" s="36"/>
    </row>
    <row r="235" spans="1:8" s="6" customFormat="1" x14ac:dyDescent="0.25">
      <c r="A235" s="3"/>
      <c r="F235" s="36"/>
      <c r="G235" s="36"/>
      <c r="H235" s="36"/>
    </row>
    <row r="236" spans="1:8" s="6" customFormat="1" x14ac:dyDescent="0.25">
      <c r="A236" s="3"/>
      <c r="F236" s="36"/>
      <c r="G236" s="36"/>
      <c r="H236" s="36"/>
    </row>
    <row r="237" spans="1:8" s="6" customFormat="1" x14ac:dyDescent="0.25">
      <c r="A237" s="3"/>
      <c r="F237" s="36"/>
      <c r="G237" s="36"/>
      <c r="H237" s="36"/>
    </row>
    <row r="238" spans="1:8" s="6" customFormat="1" x14ac:dyDescent="0.25">
      <c r="A238" s="3"/>
      <c r="F238" s="36"/>
      <c r="G238" s="36"/>
      <c r="H238" s="36"/>
    </row>
    <row r="239" spans="1:8" s="6" customFormat="1" x14ac:dyDescent="0.25">
      <c r="A239" s="3"/>
      <c r="F239" s="36"/>
      <c r="G239" s="36"/>
      <c r="H239" s="36"/>
    </row>
    <row r="240" spans="1:8" s="6" customFormat="1" x14ac:dyDescent="0.25">
      <c r="A240" s="3"/>
      <c r="F240" s="36"/>
      <c r="G240" s="36"/>
      <c r="H240" s="36"/>
    </row>
    <row r="241" spans="6:8" s="6" customFormat="1" x14ac:dyDescent="0.25">
      <c r="F241" s="36"/>
      <c r="G241" s="36"/>
      <c r="H241" s="36"/>
    </row>
    <row r="242" spans="6:8" s="6" customFormat="1" x14ac:dyDescent="0.25">
      <c r="F242" s="36"/>
      <c r="G242" s="36"/>
      <c r="H242" s="36"/>
    </row>
    <row r="243" spans="6:8" s="6" customFormat="1" x14ac:dyDescent="0.25">
      <c r="F243" s="36"/>
      <c r="G243" s="36"/>
      <c r="H243" s="36"/>
    </row>
    <row r="244" spans="6:8" s="6" customFormat="1" x14ac:dyDescent="0.25">
      <c r="F244" s="36"/>
      <c r="G244" s="36"/>
      <c r="H244" s="36"/>
    </row>
    <row r="245" spans="6:8" s="6" customFormat="1" x14ac:dyDescent="0.25">
      <c r="F245" s="36"/>
      <c r="G245" s="36"/>
      <c r="H245" s="36"/>
    </row>
    <row r="246" spans="6:8" s="6" customFormat="1" x14ac:dyDescent="0.25">
      <c r="F246" s="36"/>
      <c r="G246" s="36"/>
      <c r="H246" s="36"/>
    </row>
    <row r="247" spans="6:8" s="6" customFormat="1" x14ac:dyDescent="0.25">
      <c r="F247" s="36"/>
      <c r="G247" s="36"/>
      <c r="H247" s="36"/>
    </row>
    <row r="248" spans="6:8" s="6" customFormat="1" x14ac:dyDescent="0.25">
      <c r="F248" s="36"/>
      <c r="G248" s="36"/>
      <c r="H248" s="36"/>
    </row>
    <row r="249" spans="6:8" s="6" customFormat="1" x14ac:dyDescent="0.25">
      <c r="F249" s="36"/>
      <c r="G249" s="36"/>
      <c r="H249" s="36"/>
    </row>
    <row r="250" spans="6:8" s="6" customFormat="1" x14ac:dyDescent="0.25">
      <c r="F250" s="36"/>
      <c r="G250" s="36"/>
      <c r="H250" s="36"/>
    </row>
    <row r="251" spans="6:8" s="6" customFormat="1" x14ac:dyDescent="0.25">
      <c r="F251" s="36"/>
      <c r="G251" s="36"/>
      <c r="H251" s="36"/>
    </row>
    <row r="252" spans="6:8" s="6" customFormat="1" x14ac:dyDescent="0.25">
      <c r="F252" s="36"/>
      <c r="G252" s="36"/>
      <c r="H252" s="36"/>
    </row>
    <row r="253" spans="6:8" s="6" customFormat="1" x14ac:dyDescent="0.25">
      <c r="F253" s="36"/>
      <c r="G253" s="36"/>
      <c r="H253" s="36"/>
    </row>
    <row r="254" spans="6:8" s="6" customFormat="1" x14ac:dyDescent="0.25">
      <c r="F254" s="36"/>
      <c r="G254" s="36"/>
      <c r="H254" s="36"/>
    </row>
    <row r="255" spans="6:8" s="6" customFormat="1" x14ac:dyDescent="0.25">
      <c r="F255" s="36"/>
      <c r="G255" s="36"/>
      <c r="H255" s="36"/>
    </row>
    <row r="256" spans="6:8" s="6" customFormat="1" x14ac:dyDescent="0.25">
      <c r="F256" s="36"/>
      <c r="G256" s="36"/>
      <c r="H256" s="36"/>
    </row>
    <row r="257" spans="6:8" s="6" customFormat="1" x14ac:dyDescent="0.25">
      <c r="F257" s="36"/>
      <c r="G257" s="36"/>
      <c r="H257" s="36"/>
    </row>
    <row r="258" spans="6:8" s="6" customFormat="1" x14ac:dyDescent="0.25">
      <c r="F258" s="36"/>
      <c r="G258" s="36"/>
      <c r="H258" s="36"/>
    </row>
    <row r="259" spans="6:8" s="6" customFormat="1" x14ac:dyDescent="0.25">
      <c r="F259" s="36"/>
      <c r="G259" s="36"/>
      <c r="H259" s="36"/>
    </row>
    <row r="260" spans="6:8" s="6" customFormat="1" x14ac:dyDescent="0.25">
      <c r="F260" s="36"/>
      <c r="G260" s="36"/>
      <c r="H260" s="36"/>
    </row>
    <row r="261" spans="6:8" s="6" customFormat="1" x14ac:dyDescent="0.25">
      <c r="F261" s="36"/>
      <c r="G261" s="36"/>
      <c r="H261" s="36"/>
    </row>
    <row r="262" spans="6:8" s="6" customFormat="1" x14ac:dyDescent="0.25">
      <c r="F262" s="36"/>
      <c r="G262" s="36"/>
      <c r="H262" s="36"/>
    </row>
    <row r="263" spans="6:8" s="6" customFormat="1" x14ac:dyDescent="0.25">
      <c r="F263" s="36"/>
      <c r="G263" s="36"/>
      <c r="H263" s="36"/>
    </row>
    <row r="264" spans="6:8" s="6" customFormat="1" x14ac:dyDescent="0.25">
      <c r="F264" s="36"/>
      <c r="G264" s="36"/>
      <c r="H264" s="36"/>
    </row>
    <row r="265" spans="6:8" s="6" customFormat="1" x14ac:dyDescent="0.25">
      <c r="F265" s="36"/>
      <c r="G265" s="36"/>
      <c r="H265" s="36"/>
    </row>
    <row r="266" spans="6:8" s="6" customFormat="1" x14ac:dyDescent="0.25">
      <c r="F266" s="36"/>
      <c r="G266" s="36"/>
      <c r="H266" s="36"/>
    </row>
    <row r="267" spans="6:8" s="6" customFormat="1" x14ac:dyDescent="0.25">
      <c r="F267" s="36"/>
      <c r="G267" s="36"/>
      <c r="H267" s="36"/>
    </row>
    <row r="268" spans="6:8" s="6" customFormat="1" x14ac:dyDescent="0.25">
      <c r="F268" s="36"/>
      <c r="G268" s="36"/>
      <c r="H268" s="36"/>
    </row>
  </sheetData>
  <sortState xmlns:xlrd2="http://schemas.microsoft.com/office/spreadsheetml/2017/richdata2" ref="B17:E20">
    <sortCondition ref="E17:E20"/>
  </sortState>
  <mergeCells count="4">
    <mergeCell ref="S63:S82"/>
    <mergeCell ref="T63:T82"/>
    <mergeCell ref="G82:H82"/>
    <mergeCell ref="D83:E83"/>
  </mergeCell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K99"/>
  <sheetViews>
    <sheetView showGridLines="0" topLeftCell="A24" zoomScaleNormal="100" workbookViewId="0">
      <selection activeCell="L10" sqref="L10:L12"/>
    </sheetView>
  </sheetViews>
  <sheetFormatPr defaultColWidth="9.09765625" defaultRowHeight="12.5" x14ac:dyDescent="0.25"/>
  <cols>
    <col min="1" max="1" width="10.296875" style="6"/>
    <col min="2" max="2" width="55" style="6"/>
    <col min="3" max="3" width="14.09765625" style="6"/>
    <col min="4" max="4" width="14.69921875" style="6"/>
    <col min="5" max="5" width="14" style="6"/>
    <col min="6" max="7" width="13.69921875" style="6"/>
    <col min="8" max="8" width="13.59765625" style="6"/>
    <col min="9" max="9" width="12.69921875" style="6"/>
    <col min="10" max="10" width="14.296875" style="6"/>
    <col min="11" max="11" width="9.09765625" style="6"/>
    <col min="12" max="12" width="14.3984375" style="6"/>
    <col min="13" max="1025" width="12.3984375" style="6"/>
    <col min="1026" max="16384" width="9.09765625" style="5"/>
  </cols>
  <sheetData>
    <row r="1" spans="1:1024" x14ac:dyDescent="0.25">
      <c r="A1" s="4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spans="1:1024" ht="13" x14ac:dyDescent="0.25">
      <c r="A2" s="5"/>
      <c r="B2" s="1" t="s">
        <v>0</v>
      </c>
      <c r="C2" s="5"/>
      <c r="D2" s="5"/>
      <c r="E2" s="5"/>
      <c r="F2" s="5"/>
      <c r="G2" s="5"/>
      <c r="H2" s="91"/>
      <c r="I2" s="5"/>
      <c r="J2" s="5"/>
      <c r="K2" s="5"/>
      <c r="L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</row>
    <row r="3" spans="1:1024" ht="13" x14ac:dyDescent="0.25">
      <c r="A3" s="5"/>
      <c r="B3" s="1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5" spans="1:1024" s="177" customFormat="1" ht="13" x14ac:dyDescent="0.25">
      <c r="B5" s="177" t="s">
        <v>143</v>
      </c>
    </row>
    <row r="6" spans="1:1024" x14ac:dyDescent="0.25">
      <c r="A6" s="5"/>
      <c r="B6" s="175" t="s">
        <v>55</v>
      </c>
      <c r="C6" s="175"/>
      <c r="D6" s="175"/>
      <c r="E6" s="175"/>
      <c r="F6" s="175"/>
      <c r="G6" s="175"/>
      <c r="H6" s="175"/>
      <c r="I6" s="175"/>
      <c r="J6" s="175"/>
      <c r="K6" s="175"/>
      <c r="L6" s="104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</row>
    <row r="7" spans="1:102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04"/>
      <c r="M7" s="5"/>
      <c r="N7" s="5"/>
      <c r="O7" s="5"/>
      <c r="P7" s="5"/>
      <c r="Q7" s="5"/>
      <c r="R7" s="5"/>
      <c r="S7" s="5"/>
    </row>
    <row r="8" spans="1:1024" x14ac:dyDescent="0.25">
      <c r="A8" s="5"/>
      <c r="B8" s="32"/>
      <c r="C8" s="5"/>
      <c r="D8" s="5"/>
      <c r="E8" s="5"/>
      <c r="F8" s="5"/>
      <c r="G8" s="5"/>
      <c r="H8" s="5"/>
      <c r="I8" s="5"/>
      <c r="J8" s="5"/>
      <c r="K8" s="5"/>
      <c r="L8" s="104"/>
      <c r="M8" s="5"/>
      <c r="N8" s="5"/>
      <c r="O8" s="5"/>
      <c r="P8" s="5"/>
      <c r="Q8" s="5"/>
      <c r="R8" s="5"/>
      <c r="S8" s="5"/>
    </row>
    <row r="9" spans="1:1024" ht="12" customHeight="1" x14ac:dyDescent="0.25">
      <c r="A9" s="5"/>
      <c r="B9" s="5"/>
      <c r="C9" s="6">
        <v>2004</v>
      </c>
      <c r="D9" s="6">
        <v>2006</v>
      </c>
      <c r="E9" s="6">
        <v>2008</v>
      </c>
      <c r="F9" s="6">
        <v>2010</v>
      </c>
      <c r="G9" s="38">
        <v>2012</v>
      </c>
      <c r="H9" s="38">
        <v>2014</v>
      </c>
      <c r="I9" s="38">
        <v>2016</v>
      </c>
      <c r="J9" s="105">
        <v>2018</v>
      </c>
      <c r="K9" s="38">
        <v>2020</v>
      </c>
      <c r="L9" s="38">
        <v>2022</v>
      </c>
      <c r="M9" s="38"/>
      <c r="N9" s="5"/>
      <c r="O9" s="38"/>
      <c r="P9" s="5"/>
      <c r="Q9" s="5"/>
      <c r="R9" s="5"/>
      <c r="S9" s="5"/>
    </row>
    <row r="10" spans="1:1024" ht="12" customHeight="1" x14ac:dyDescent="0.25">
      <c r="A10" s="5"/>
      <c r="B10" s="68" t="s">
        <v>56</v>
      </c>
      <c r="C10" s="12">
        <v>100</v>
      </c>
      <c r="D10" s="12">
        <v>113.99335838303055</v>
      </c>
      <c r="E10" s="12">
        <v>117.84963287255678</v>
      </c>
      <c r="F10" s="12">
        <v>118.94584439311937</v>
      </c>
      <c r="G10" s="12">
        <v>121.63006882921393</v>
      </c>
      <c r="H10" s="12">
        <v>123.19165316510967</v>
      </c>
      <c r="I10" s="36">
        <v>126.69746170728624</v>
      </c>
      <c r="J10" s="36">
        <v>136.5300424006343</v>
      </c>
      <c r="K10" s="36">
        <v>133.1668546848679</v>
      </c>
      <c r="L10" s="36">
        <v>140.57821135969297</v>
      </c>
      <c r="M10" s="36"/>
      <c r="N10" s="36"/>
      <c r="O10" s="36"/>
      <c r="P10" s="36"/>
      <c r="Q10" s="36"/>
      <c r="R10" s="36"/>
      <c r="S10" s="71"/>
    </row>
    <row r="11" spans="1:1024" ht="12" customHeight="1" x14ac:dyDescent="0.25">
      <c r="A11" s="5"/>
      <c r="B11" s="68" t="s">
        <v>57</v>
      </c>
      <c r="C11" s="12">
        <v>100</v>
      </c>
      <c r="D11" s="12">
        <v>91.632740518534391</v>
      </c>
      <c r="E11" s="12">
        <v>89.984806280070899</v>
      </c>
      <c r="F11" s="12">
        <v>96.897948847809573</v>
      </c>
      <c r="G11" s="12">
        <v>102.58293238794631</v>
      </c>
      <c r="H11" s="12">
        <v>101.22815902760192</v>
      </c>
      <c r="I11" s="36">
        <v>96.863860373609683</v>
      </c>
      <c r="J11" s="36">
        <v>95.874320665407026</v>
      </c>
      <c r="K11" s="106">
        <v>76.504020690632473</v>
      </c>
      <c r="L11" s="106">
        <v>74.893351773574608</v>
      </c>
      <c r="M11" s="107"/>
      <c r="N11" s="36"/>
      <c r="O11" s="36"/>
      <c r="P11" s="36"/>
      <c r="Q11" s="36"/>
      <c r="R11" s="36"/>
      <c r="S11" s="71"/>
    </row>
    <row r="12" spans="1:1024" ht="12" customHeight="1" x14ac:dyDescent="0.25">
      <c r="A12" s="5"/>
      <c r="B12" s="108" t="s">
        <v>48</v>
      </c>
      <c r="C12" s="12">
        <v>100</v>
      </c>
      <c r="D12" s="12">
        <v>101.89140748550342</v>
      </c>
      <c r="E12" s="12">
        <v>102.768581971534</v>
      </c>
      <c r="F12" s="12">
        <v>107.01370585134423</v>
      </c>
      <c r="G12" s="12">
        <v>111.32156035846073</v>
      </c>
      <c r="H12" s="12">
        <v>111.30469161834475</v>
      </c>
      <c r="I12" s="36">
        <v>110.55086979441222</v>
      </c>
      <c r="J12" s="36">
        <v>114.5260938323669</v>
      </c>
      <c r="K12" s="36">
        <v>102.49913380648393</v>
      </c>
      <c r="L12" s="36">
        <v>105.02741170268845</v>
      </c>
      <c r="M12" s="107"/>
      <c r="N12" s="36"/>
      <c r="O12" s="107"/>
      <c r="P12" s="36"/>
      <c r="Q12" s="36"/>
      <c r="R12" s="36"/>
      <c r="S12" s="71"/>
    </row>
    <row r="13" spans="1:1024" ht="12" customHeight="1" x14ac:dyDescent="0.25">
      <c r="A13" s="5"/>
      <c r="B13" s="5"/>
      <c r="C13" s="12"/>
      <c r="D13" s="12"/>
      <c r="E13" s="12"/>
      <c r="F13" s="12"/>
      <c r="G13" s="12"/>
      <c r="H13" s="1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024" ht="12" customHeight="1" x14ac:dyDescent="0.25">
      <c r="A14" s="42" t="s">
        <v>50</v>
      </c>
      <c r="B14" s="26" t="s">
        <v>177</v>
      </c>
      <c r="C14" s="36"/>
      <c r="D14" s="5"/>
      <c r="E14" s="5"/>
      <c r="F14" s="5"/>
      <c r="G14" s="5"/>
      <c r="H14" s="5"/>
      <c r="I14" s="5"/>
      <c r="M14" s="5"/>
      <c r="N14" s="5"/>
      <c r="O14" s="5"/>
      <c r="P14" s="5"/>
      <c r="Q14" s="5"/>
      <c r="R14" s="5"/>
      <c r="S14" s="5"/>
    </row>
    <row r="15" spans="1:1024" ht="12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024" x14ac:dyDescent="0.25">
      <c r="A16" s="5"/>
      <c r="B16" s="5"/>
      <c r="C16" s="57"/>
      <c r="D16" s="5"/>
      <c r="E16" s="109"/>
      <c r="F16" s="109"/>
      <c r="G16" s="109"/>
      <c r="H16" s="109"/>
      <c r="I16" s="109"/>
      <c r="J16" s="109"/>
      <c r="K16" s="109"/>
      <c r="L16" s="5"/>
      <c r="M16" s="5"/>
      <c r="N16" s="5"/>
      <c r="O16" s="5"/>
      <c r="P16" s="5"/>
      <c r="Q16" s="5"/>
      <c r="R16" s="5"/>
      <c r="S16" s="5"/>
    </row>
    <row r="17" spans="1:19" x14ac:dyDescent="0.25">
      <c r="A17" s="5"/>
      <c r="B17" s="5"/>
      <c r="C17" s="5"/>
      <c r="D17" s="5"/>
      <c r="E17" s="109"/>
      <c r="F17" s="109"/>
      <c r="G17" s="36"/>
      <c r="H17" s="36"/>
      <c r="I17" s="36"/>
      <c r="J17" s="36"/>
      <c r="K17" s="36"/>
      <c r="N17" s="5"/>
      <c r="O17" s="5"/>
      <c r="P17" s="5"/>
      <c r="Q17" s="5"/>
      <c r="R17" s="5"/>
      <c r="S17" s="5"/>
    </row>
    <row r="18" spans="1:19" x14ac:dyDescent="0.25">
      <c r="A18" s="5"/>
      <c r="B18" s="5"/>
      <c r="C18" s="5"/>
      <c r="D18" s="5"/>
      <c r="E18" s="109"/>
      <c r="F18" s="109"/>
      <c r="G18" s="36"/>
      <c r="H18" s="36"/>
      <c r="I18" s="36"/>
      <c r="J18" s="36"/>
      <c r="K18" s="36"/>
      <c r="M18" s="5"/>
      <c r="N18" s="5"/>
      <c r="O18" s="5"/>
      <c r="P18" s="5"/>
      <c r="Q18" s="5"/>
      <c r="R18" s="5"/>
      <c r="S18" s="5"/>
    </row>
    <row r="19" spans="1:19" ht="13" x14ac:dyDescent="0.25">
      <c r="A19" s="41"/>
      <c r="B19" s="5"/>
      <c r="C19" s="12"/>
      <c r="D19" s="110"/>
      <c r="E19" s="5"/>
      <c r="F19" s="5"/>
      <c r="M19" s="5"/>
      <c r="N19" s="5"/>
      <c r="O19" s="5"/>
      <c r="P19" s="5"/>
      <c r="Q19" s="5"/>
      <c r="R19" s="5"/>
      <c r="S19" s="5"/>
    </row>
    <row r="20" spans="1:19" x14ac:dyDescent="0.25">
      <c r="A20" s="111"/>
      <c r="B20" s="5"/>
      <c r="C20" s="12"/>
      <c r="D20" s="12"/>
      <c r="E20" s="5"/>
      <c r="F20" s="5"/>
      <c r="M20" s="5"/>
      <c r="N20" s="5"/>
      <c r="O20" s="5"/>
      <c r="P20" s="5"/>
      <c r="Q20" s="5"/>
      <c r="R20" s="5"/>
      <c r="S20" s="5"/>
    </row>
    <row r="21" spans="1:19" x14ac:dyDescent="0.25">
      <c r="A21" s="5"/>
      <c r="B21" s="5"/>
      <c r="C21" s="12"/>
      <c r="D21" s="110"/>
      <c r="E21" s="5"/>
      <c r="F21" s="5"/>
      <c r="M21" s="5"/>
      <c r="N21" s="5"/>
      <c r="O21" s="5"/>
      <c r="P21" s="5"/>
      <c r="Q21" s="5"/>
      <c r="R21" s="5"/>
      <c r="S21" s="5"/>
    </row>
    <row r="22" spans="1:19" ht="13" x14ac:dyDescent="0.25">
      <c r="A22" s="5"/>
      <c r="B22" s="177"/>
      <c r="C22" s="5"/>
      <c r="D22" s="5"/>
      <c r="E22" s="5"/>
      <c r="F22" s="5"/>
      <c r="M22" s="5"/>
      <c r="N22" s="5"/>
      <c r="O22" s="5"/>
      <c r="P22" s="5"/>
      <c r="Q22" s="5"/>
      <c r="R22" s="5"/>
      <c r="S22" s="5"/>
    </row>
    <row r="23" spans="1:19" x14ac:dyDescent="0.25">
      <c r="A23" s="5"/>
      <c r="B23" s="175"/>
      <c r="C23" s="5"/>
      <c r="D23" s="5"/>
      <c r="E23" s="5"/>
      <c r="F23" s="5"/>
      <c r="M23" s="5"/>
      <c r="N23" s="5"/>
      <c r="O23" s="5"/>
      <c r="P23" s="5"/>
      <c r="Q23" s="5"/>
      <c r="R23" s="5"/>
      <c r="S23" s="5"/>
    </row>
    <row r="24" spans="1:19" x14ac:dyDescent="0.25">
      <c r="A24" s="5"/>
      <c r="B24" s="5"/>
      <c r="C24" s="5"/>
      <c r="D24" s="5"/>
      <c r="E24" s="5"/>
      <c r="F24" s="5"/>
      <c r="M24" s="5"/>
      <c r="N24" s="5"/>
      <c r="O24" s="5"/>
      <c r="P24" s="5"/>
      <c r="Q24" s="5"/>
      <c r="R24" s="5"/>
      <c r="S24" s="5"/>
    </row>
    <row r="25" spans="1:19" x14ac:dyDescent="0.25">
      <c r="A25" s="5"/>
      <c r="B25" s="5"/>
      <c r="C25" s="5"/>
      <c r="D25" s="5"/>
      <c r="E25" s="5"/>
      <c r="F25" s="5"/>
      <c r="M25" s="5"/>
      <c r="N25" s="5"/>
      <c r="O25" s="5"/>
      <c r="P25" s="5"/>
      <c r="Q25" s="5"/>
      <c r="R25" s="5"/>
      <c r="S25" s="5"/>
    </row>
    <row r="26" spans="1:19" x14ac:dyDescent="0.25">
      <c r="A26" s="5"/>
      <c r="B26" s="5"/>
      <c r="C26" s="5"/>
      <c r="D26" s="5"/>
      <c r="E26" s="5"/>
      <c r="F26" s="5"/>
      <c r="M26" s="5"/>
      <c r="N26" s="5"/>
      <c r="O26" s="5"/>
      <c r="P26" s="5"/>
      <c r="Q26" s="5"/>
      <c r="R26" s="5"/>
      <c r="S26" s="5"/>
    </row>
    <row r="27" spans="1:19" x14ac:dyDescent="0.25">
      <c r="A27" s="5"/>
      <c r="B27" s="5"/>
      <c r="C27" s="5"/>
      <c r="D27" s="5"/>
      <c r="E27" s="5"/>
      <c r="F27" s="5"/>
      <c r="M27" s="5"/>
      <c r="N27" s="5"/>
      <c r="O27" s="5"/>
      <c r="P27" s="5"/>
      <c r="Q27" s="5"/>
      <c r="R27" s="5"/>
      <c r="S27" s="5"/>
    </row>
    <row r="28" spans="1:19" x14ac:dyDescent="0.25">
      <c r="A28" s="5"/>
      <c r="B28" s="5"/>
      <c r="C28" s="5"/>
      <c r="D28" s="5"/>
      <c r="E28" s="5"/>
      <c r="F28" s="5"/>
      <c r="M28" s="5"/>
      <c r="N28" s="5"/>
      <c r="O28" s="5"/>
      <c r="P28" s="5"/>
      <c r="Q28" s="5"/>
      <c r="R28" s="5"/>
      <c r="S28" s="5"/>
    </row>
    <row r="29" spans="1:19" x14ac:dyDescent="0.25">
      <c r="A29" s="5"/>
      <c r="B29" s="5"/>
      <c r="C29" s="5"/>
      <c r="D29" s="5"/>
      <c r="E29" s="5"/>
      <c r="F29" s="5"/>
      <c r="M29" s="5"/>
      <c r="N29" s="5"/>
      <c r="O29" s="5"/>
      <c r="P29" s="5"/>
      <c r="Q29" s="5"/>
      <c r="R29" s="5"/>
      <c r="S29" s="5"/>
    </row>
    <row r="30" spans="1:19" x14ac:dyDescent="0.25">
      <c r="A30" s="5"/>
      <c r="B30" s="5"/>
      <c r="C30" s="5"/>
      <c r="D30" s="5"/>
      <c r="E30" s="5"/>
      <c r="F30" s="5"/>
      <c r="M30" s="5"/>
      <c r="N30" s="5"/>
      <c r="O30" s="5"/>
      <c r="P30" s="5"/>
      <c r="Q30" s="5"/>
      <c r="R30" s="5"/>
      <c r="S30" s="5"/>
    </row>
    <row r="31" spans="1:19" x14ac:dyDescent="0.25">
      <c r="A31" s="5"/>
      <c r="B31" s="5"/>
      <c r="C31" s="5"/>
      <c r="D31" s="5"/>
      <c r="E31" s="5"/>
      <c r="F31" s="5"/>
      <c r="M31" s="5"/>
      <c r="N31" s="5"/>
      <c r="O31" s="5"/>
      <c r="P31" s="5"/>
      <c r="Q31" s="5"/>
      <c r="R31" s="5"/>
      <c r="S31" s="5"/>
    </row>
    <row r="32" spans="1:19" x14ac:dyDescent="0.25">
      <c r="A32" s="5"/>
      <c r="B32" s="5"/>
      <c r="C32" s="5"/>
      <c r="D32" s="5"/>
      <c r="E32" s="5"/>
      <c r="F32" s="5"/>
    </row>
    <row r="33" spans="1:19" x14ac:dyDescent="0.25">
      <c r="A33" s="5"/>
      <c r="B33" s="5"/>
      <c r="C33" s="5"/>
      <c r="D33" s="5"/>
      <c r="E33" s="5"/>
      <c r="F33" s="5"/>
      <c r="S33" s="5"/>
    </row>
    <row r="34" spans="1:19" x14ac:dyDescent="0.25">
      <c r="A34" s="5"/>
      <c r="B34" s="5"/>
      <c r="C34" s="5"/>
      <c r="D34" s="5"/>
      <c r="E34" s="5"/>
      <c r="F34" s="5"/>
      <c r="M34" s="13"/>
      <c r="N34" s="13"/>
      <c r="O34" s="13"/>
      <c r="P34" s="13"/>
      <c r="Q34" s="13"/>
      <c r="R34" s="13"/>
      <c r="S34" s="13"/>
    </row>
    <row r="35" spans="1:19" x14ac:dyDescent="0.25">
      <c r="A35" s="5"/>
      <c r="B35" s="5"/>
      <c r="C35" s="5"/>
      <c r="D35" s="5"/>
      <c r="E35" s="5"/>
      <c r="F35" s="5"/>
      <c r="M35" s="13"/>
      <c r="N35" s="13"/>
      <c r="O35" s="13"/>
      <c r="P35" s="13"/>
      <c r="Q35" s="13"/>
      <c r="R35" s="13"/>
      <c r="S35" s="13"/>
    </row>
    <row r="36" spans="1:19" x14ac:dyDescent="0.25">
      <c r="A36" s="5"/>
      <c r="B36" s="5"/>
      <c r="C36" s="5"/>
      <c r="D36" s="5"/>
      <c r="E36" s="5"/>
      <c r="F36" s="5"/>
      <c r="M36" s="13"/>
      <c r="N36" s="13"/>
      <c r="O36" s="13"/>
      <c r="P36" s="13"/>
      <c r="Q36" s="13"/>
      <c r="R36" s="13"/>
      <c r="S36" s="13"/>
    </row>
    <row r="37" spans="1:19" x14ac:dyDescent="0.25">
      <c r="A37" s="5"/>
      <c r="B37" s="5"/>
      <c r="C37" s="5"/>
      <c r="D37" s="5"/>
      <c r="E37" s="5"/>
      <c r="F37" s="5"/>
      <c r="M37" s="13"/>
      <c r="N37" s="13"/>
      <c r="O37" s="13"/>
      <c r="P37" s="13"/>
      <c r="Q37" s="13"/>
      <c r="R37" s="13"/>
      <c r="S37" s="13"/>
    </row>
    <row r="38" spans="1:19" x14ac:dyDescent="0.25">
      <c r="A38" s="5"/>
      <c r="B38" s="5"/>
      <c r="C38" s="5"/>
      <c r="D38" s="5"/>
      <c r="E38" s="5"/>
      <c r="F38" s="5"/>
    </row>
    <row r="39" spans="1:19" x14ac:dyDescent="0.25">
      <c r="A39" s="5"/>
      <c r="B39" s="175"/>
      <c r="C39" s="5"/>
      <c r="D39" s="5"/>
      <c r="E39" s="5"/>
      <c r="F39" s="5"/>
    </row>
    <row r="40" spans="1:19" ht="13" x14ac:dyDescent="0.25">
      <c r="A40" s="112"/>
      <c r="B40" s="5"/>
      <c r="C40" s="5"/>
      <c r="D40" s="5"/>
      <c r="E40" s="5"/>
      <c r="F40" s="5"/>
    </row>
    <row r="41" spans="1:19" x14ac:dyDescent="0.25">
      <c r="B41" s="5"/>
      <c r="C41" s="5"/>
      <c r="D41" s="5"/>
      <c r="E41" s="5"/>
      <c r="F41" s="5"/>
    </row>
    <row r="42" spans="1:19" x14ac:dyDescent="0.25">
      <c r="B42" s="5"/>
      <c r="C42" s="5"/>
      <c r="D42" s="5"/>
      <c r="E42" s="5"/>
      <c r="F42" s="5"/>
    </row>
    <row r="43" spans="1:19" x14ac:dyDescent="0.25">
      <c r="B43" s="5"/>
      <c r="C43" s="5"/>
      <c r="D43" s="5"/>
      <c r="E43" s="5"/>
      <c r="F43" s="5"/>
    </row>
    <row r="44" spans="1:19" x14ac:dyDescent="0.25">
      <c r="B44" s="5"/>
      <c r="C44" s="5"/>
      <c r="D44" s="5"/>
      <c r="E44" s="5"/>
      <c r="F44" s="5"/>
    </row>
    <row r="45" spans="1:19" x14ac:dyDescent="0.25">
      <c r="B45" s="5"/>
      <c r="C45" s="5"/>
      <c r="D45" s="5"/>
      <c r="E45" s="5"/>
      <c r="F45" s="5"/>
    </row>
    <row r="46" spans="1:19" x14ac:dyDescent="0.25">
      <c r="B46" s="5"/>
      <c r="C46" s="5"/>
      <c r="D46" s="5"/>
      <c r="E46" s="5"/>
      <c r="F46" s="5"/>
    </row>
    <row r="47" spans="1:19" x14ac:dyDescent="0.25">
      <c r="B47" s="5"/>
      <c r="C47" s="5"/>
      <c r="D47" s="5"/>
      <c r="E47" s="5"/>
      <c r="F47" s="5"/>
    </row>
    <row r="48" spans="1:19" x14ac:dyDescent="0.25">
      <c r="B48" s="5"/>
      <c r="C48" s="5"/>
      <c r="D48" s="5"/>
      <c r="E48" s="5"/>
      <c r="F48" s="5"/>
    </row>
    <row r="49" spans="2:6" x14ac:dyDescent="0.25">
      <c r="B49" s="5"/>
      <c r="C49" s="5"/>
      <c r="D49" s="5"/>
      <c r="E49" s="5"/>
      <c r="F49" s="5"/>
    </row>
    <row r="50" spans="2:6" x14ac:dyDescent="0.25">
      <c r="B50" s="5"/>
      <c r="C50" s="5"/>
      <c r="D50" s="5"/>
      <c r="E50" s="5"/>
      <c r="F50" s="5"/>
    </row>
    <row r="51" spans="2:6" x14ac:dyDescent="0.25">
      <c r="B51" s="5"/>
      <c r="C51" s="5"/>
      <c r="D51" s="5"/>
      <c r="E51" s="5"/>
      <c r="F51" s="5"/>
    </row>
    <row r="52" spans="2:6" x14ac:dyDescent="0.25">
      <c r="B52" s="5"/>
      <c r="C52" s="5"/>
      <c r="D52" s="5"/>
      <c r="E52" s="5"/>
      <c r="F52" s="5"/>
    </row>
    <row r="53" spans="2:6" x14ac:dyDescent="0.25">
      <c r="B53" s="5"/>
      <c r="C53" s="5"/>
      <c r="D53" s="5"/>
      <c r="E53" s="5"/>
      <c r="F53" s="5"/>
    </row>
    <row r="54" spans="2:6" x14ac:dyDescent="0.25">
      <c r="B54" s="5"/>
      <c r="C54" s="5"/>
      <c r="D54" s="5"/>
      <c r="E54" s="5"/>
      <c r="F54" s="5"/>
    </row>
    <row r="55" spans="2:6" x14ac:dyDescent="0.25">
      <c r="B55" s="5"/>
      <c r="C55" s="5"/>
      <c r="D55" s="5"/>
      <c r="E55" s="5"/>
      <c r="F55" s="5"/>
    </row>
    <row r="56" spans="2:6" x14ac:dyDescent="0.25">
      <c r="B56" s="5"/>
      <c r="C56" s="5"/>
      <c r="D56" s="5"/>
      <c r="E56" s="5"/>
      <c r="F56" s="5"/>
    </row>
    <row r="57" spans="2:6" x14ac:dyDescent="0.25">
      <c r="B57" s="5"/>
      <c r="C57" s="5"/>
      <c r="D57" s="5"/>
      <c r="E57" s="5"/>
      <c r="F57" s="5"/>
    </row>
    <row r="58" spans="2:6" x14ac:dyDescent="0.25">
      <c r="B58" s="5"/>
      <c r="C58" s="5"/>
      <c r="D58" s="5"/>
      <c r="E58" s="5"/>
      <c r="F58" s="5"/>
    </row>
    <row r="59" spans="2:6" x14ac:dyDescent="0.25">
      <c r="B59" s="5"/>
      <c r="C59" s="5"/>
      <c r="D59" s="5"/>
      <c r="E59" s="5"/>
      <c r="F59" s="5"/>
    </row>
    <row r="60" spans="2:6" x14ac:dyDescent="0.25">
      <c r="B60" s="5"/>
      <c r="C60" s="5"/>
      <c r="D60" s="5"/>
      <c r="E60" s="5"/>
      <c r="F60" s="5"/>
    </row>
    <row r="61" spans="2:6" x14ac:dyDescent="0.25">
      <c r="B61" s="5"/>
      <c r="C61" s="5"/>
      <c r="D61" s="5"/>
      <c r="E61" s="5"/>
      <c r="F61" s="5"/>
    </row>
    <row r="62" spans="2:6" x14ac:dyDescent="0.25">
      <c r="B62" s="5"/>
      <c r="C62" s="5"/>
      <c r="D62" s="5"/>
      <c r="E62" s="5"/>
      <c r="F62" s="5"/>
    </row>
    <row r="63" spans="2:6" x14ac:dyDescent="0.25">
      <c r="B63" s="5"/>
      <c r="C63" s="5"/>
      <c r="D63" s="5"/>
      <c r="E63" s="5"/>
      <c r="F63" s="5"/>
    </row>
    <row r="64" spans="2:6" x14ac:dyDescent="0.25">
      <c r="B64" s="5"/>
      <c r="C64" s="5"/>
      <c r="D64" s="5"/>
      <c r="E64" s="5"/>
      <c r="F64" s="5"/>
    </row>
    <row r="65" spans="2:6" ht="28.9" customHeight="1" x14ac:dyDescent="0.25">
      <c r="B65" s="5"/>
      <c r="C65" s="5"/>
      <c r="D65" s="5"/>
      <c r="E65" s="5"/>
      <c r="F65" s="5"/>
    </row>
    <row r="66" spans="2:6" x14ac:dyDescent="0.25">
      <c r="C66" s="5"/>
      <c r="D66" s="5"/>
      <c r="E66" s="5"/>
      <c r="F66" s="5"/>
    </row>
    <row r="80" spans="2:6" ht="13" x14ac:dyDescent="0.25">
      <c r="B80" s="26" t="s">
        <v>177</v>
      </c>
    </row>
    <row r="89" spans="4:11" x14ac:dyDescent="0.25">
      <c r="D89" s="57"/>
      <c r="E89" s="57"/>
      <c r="F89" s="57"/>
      <c r="G89" s="57"/>
      <c r="H89" s="57"/>
      <c r="I89" s="57"/>
      <c r="J89" s="57"/>
      <c r="K89" s="57"/>
    </row>
    <row r="90" spans="4:11" x14ac:dyDescent="0.25">
      <c r="D90" s="57"/>
      <c r="E90" s="57"/>
      <c r="F90" s="57"/>
      <c r="G90" s="57"/>
      <c r="H90" s="57"/>
      <c r="I90" s="57"/>
      <c r="J90" s="57"/>
      <c r="K90" s="57"/>
    </row>
    <row r="91" spans="4:11" x14ac:dyDescent="0.25">
      <c r="D91" s="57"/>
      <c r="E91" s="57"/>
      <c r="F91" s="57"/>
      <c r="G91" s="57"/>
      <c r="H91" s="57"/>
      <c r="I91" s="57"/>
      <c r="J91" s="57"/>
      <c r="K91" s="57"/>
    </row>
    <row r="97" spans="3:5" x14ac:dyDescent="0.25">
      <c r="C97" s="13"/>
      <c r="D97" s="13"/>
      <c r="E97" s="13"/>
    </row>
    <row r="98" spans="3:5" x14ac:dyDescent="0.25">
      <c r="C98" s="13"/>
      <c r="D98" s="13"/>
      <c r="E98" s="13"/>
    </row>
    <row r="99" spans="3:5" x14ac:dyDescent="0.25">
      <c r="C99" s="13"/>
      <c r="D99" s="13"/>
      <c r="E99" s="13"/>
    </row>
  </sheetData>
  <pageMargins left="0.75" right="0.75" top="1" bottom="1" header="0.51180555555555496" footer="0.51180555555555496"/>
  <pageSetup paperSize="9" firstPageNumber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MJ83"/>
  <sheetViews>
    <sheetView showGridLines="0" topLeftCell="A2" zoomScaleNormal="100" workbookViewId="0">
      <selection activeCell="G9" sqref="G9"/>
    </sheetView>
  </sheetViews>
  <sheetFormatPr defaultColWidth="9.09765625" defaultRowHeight="12.5" x14ac:dyDescent="0.25"/>
  <cols>
    <col min="1" max="1" width="10.296875" style="6"/>
    <col min="2" max="2" width="16.296875" style="6"/>
    <col min="3" max="6" width="12.09765625" style="6" customWidth="1"/>
    <col min="7" max="7" width="14.8984375" style="6" customWidth="1"/>
    <col min="8" max="8" width="11.09765625" style="98" customWidth="1"/>
    <col min="9" max="9" width="22.8984375" style="6"/>
    <col min="10" max="10" width="15.09765625" style="6"/>
    <col min="11" max="11" width="14.59765625" style="6"/>
    <col min="12" max="12" width="14.8984375" style="6"/>
    <col min="13" max="13" width="39" style="6"/>
    <col min="14" max="14" width="31.69921875" style="6"/>
    <col min="15" max="15" width="43.8984375" style="6"/>
    <col min="16" max="1024" width="12.3984375" style="6"/>
    <col min="1025" max="16384" width="9.09765625" style="5"/>
  </cols>
  <sheetData>
    <row r="1" spans="1:1023" ht="13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spans="1:1023" ht="13" x14ac:dyDescent="0.25">
      <c r="A2" s="5"/>
      <c r="B2" s="29" t="s">
        <v>0</v>
      </c>
      <c r="C2" s="5"/>
      <c r="D2" s="113"/>
      <c r="E2" s="5"/>
      <c r="F2" s="5"/>
      <c r="G2" s="5"/>
      <c r="H2" s="5"/>
      <c r="I2" s="5"/>
      <c r="J2" s="5"/>
      <c r="K2" s="5"/>
      <c r="L2" s="5"/>
      <c r="M2" s="1"/>
      <c r="N2" s="1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spans="1:1023" ht="13" x14ac:dyDescent="0.25">
      <c r="A3" s="5"/>
      <c r="B3" s="1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</row>
    <row r="4" spans="1:10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</row>
    <row r="5" spans="1:1023" s="177" customFormat="1" ht="13" x14ac:dyDescent="0.25">
      <c r="B5" s="177" t="s">
        <v>144</v>
      </c>
    </row>
    <row r="6" spans="1:1023" x14ac:dyDescent="0.25">
      <c r="A6" s="5"/>
      <c r="B6" s="175" t="s">
        <v>76</v>
      </c>
      <c r="C6" s="175"/>
      <c r="D6" s="175"/>
      <c r="E6" s="175"/>
      <c r="F6" s="175"/>
      <c r="G6" s="114"/>
      <c r="H6" s="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</row>
    <row r="7" spans="1:1023" x14ac:dyDescent="0.25">
      <c r="A7" s="5"/>
      <c r="B7" s="115"/>
      <c r="C7" s="116"/>
      <c r="D7" s="117"/>
      <c r="E7" s="118"/>
      <c r="G7" s="117"/>
      <c r="H7" s="5"/>
      <c r="I7" s="3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</row>
    <row r="8" spans="1:1023" s="10" customFormat="1" ht="22.5" customHeight="1" x14ac:dyDescent="0.25">
      <c r="B8" s="119"/>
      <c r="C8" s="213"/>
      <c r="D8" s="213"/>
      <c r="E8" s="213"/>
      <c r="F8" s="213"/>
      <c r="G8" s="213"/>
    </row>
    <row r="9" spans="1:1023" ht="55.5" customHeight="1" x14ac:dyDescent="0.25">
      <c r="A9" s="10"/>
      <c r="B9" s="119"/>
      <c r="C9" s="120" t="s">
        <v>70</v>
      </c>
      <c r="D9" s="121" t="s">
        <v>71</v>
      </c>
      <c r="E9" s="121" t="s">
        <v>58</v>
      </c>
      <c r="F9" s="120" t="s">
        <v>72</v>
      </c>
      <c r="G9" s="121" t="s">
        <v>73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</row>
    <row r="10" spans="1:1023" ht="13" x14ac:dyDescent="0.3">
      <c r="A10" s="69" t="s">
        <v>121</v>
      </c>
      <c r="B10" s="122" t="s">
        <v>118</v>
      </c>
      <c r="C10" s="123">
        <v>40.834784703644402</v>
      </c>
      <c r="D10" s="123">
        <v>14.153495585659289</v>
      </c>
      <c r="E10" s="123">
        <v>6.416478866877136</v>
      </c>
      <c r="F10" s="123">
        <v>38.172126663220183</v>
      </c>
      <c r="G10" s="123">
        <v>0.42311418059898509</v>
      </c>
      <c r="H10" s="206"/>
      <c r="I10" s="124"/>
      <c r="J10" s="116"/>
      <c r="K10" s="116"/>
      <c r="L10" s="116"/>
      <c r="M10" s="116"/>
      <c r="N10" s="11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</row>
    <row r="11" spans="1:1023" ht="13" x14ac:dyDescent="0.3">
      <c r="A11" s="60"/>
      <c r="B11" s="122"/>
      <c r="C11" s="123"/>
      <c r="D11" s="125"/>
      <c r="E11" s="125"/>
      <c r="F11" s="123"/>
      <c r="G11" s="125"/>
      <c r="H11" s="205"/>
      <c r="I11" s="124"/>
      <c r="J11" s="116"/>
      <c r="K11" s="116"/>
      <c r="L11" s="116"/>
      <c r="M11" s="116"/>
      <c r="N11" s="11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</row>
    <row r="12" spans="1:1023" ht="13" x14ac:dyDescent="0.25">
      <c r="A12" s="63" t="s">
        <v>90</v>
      </c>
      <c r="B12" s="126" t="s">
        <v>17</v>
      </c>
      <c r="C12" s="127">
        <v>85.603009572868601</v>
      </c>
      <c r="D12" s="127">
        <v>0.27299658626807277</v>
      </c>
      <c r="E12" s="127">
        <v>4.9537972590413464</v>
      </c>
      <c r="F12" s="127">
        <v>8.7507410870877607</v>
      </c>
      <c r="G12" s="127">
        <v>0.41945549473421029</v>
      </c>
      <c r="H12" s="128"/>
      <c r="I12" s="124"/>
      <c r="J12" s="116"/>
      <c r="K12" s="116"/>
      <c r="L12" s="116"/>
      <c r="M12" s="116"/>
      <c r="N12" s="11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</row>
    <row r="13" spans="1:1023" ht="13" x14ac:dyDescent="0.25">
      <c r="A13" s="60" t="s">
        <v>79</v>
      </c>
      <c r="B13" s="126" t="s">
        <v>8</v>
      </c>
      <c r="C13" s="127">
        <v>68.324899871026119</v>
      </c>
      <c r="D13" s="127">
        <v>13.256427012647725</v>
      </c>
      <c r="E13" s="127">
        <v>10.442454937731394</v>
      </c>
      <c r="F13" s="127">
        <v>7.2629025775573206</v>
      </c>
      <c r="G13" s="127">
        <v>0.71331560103745062</v>
      </c>
      <c r="H13" s="128"/>
      <c r="I13" s="124"/>
      <c r="J13" s="116"/>
      <c r="K13" s="116"/>
      <c r="L13" s="116"/>
      <c r="M13" s="116"/>
      <c r="N13" s="11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</row>
    <row r="14" spans="1:1023" ht="13" x14ac:dyDescent="0.25">
      <c r="A14" s="63" t="s">
        <v>103</v>
      </c>
      <c r="B14" s="126" t="s">
        <v>29</v>
      </c>
      <c r="C14" s="127">
        <v>68.296320859885682</v>
      </c>
      <c r="D14" s="127">
        <v>0.54929961899271396</v>
      </c>
      <c r="E14" s="127">
        <v>3.9594352190898596</v>
      </c>
      <c r="F14" s="127">
        <v>27.107434348531484</v>
      </c>
      <c r="G14" s="127">
        <v>8.750996324858025E-2</v>
      </c>
      <c r="H14" s="128"/>
      <c r="I14" s="124"/>
      <c r="J14" s="116"/>
      <c r="K14" s="116"/>
      <c r="L14" s="116"/>
      <c r="M14" s="116"/>
      <c r="N14" s="11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</row>
    <row r="15" spans="1:1023" ht="13" x14ac:dyDescent="0.25">
      <c r="A15" s="63" t="s">
        <v>92</v>
      </c>
      <c r="B15" s="126" t="s">
        <v>18</v>
      </c>
      <c r="C15" s="127">
        <v>66.056105319867243</v>
      </c>
      <c r="D15" s="127">
        <v>2.9509945122928714</v>
      </c>
      <c r="E15" s="127">
        <v>11.320103845691975</v>
      </c>
      <c r="F15" s="127">
        <v>19.671952367687258</v>
      </c>
      <c r="G15" s="127">
        <v>8.4395446065255208E-4</v>
      </c>
      <c r="H15" s="128"/>
      <c r="I15" s="124"/>
      <c r="J15" s="116"/>
      <c r="K15" s="116"/>
      <c r="L15" s="116"/>
      <c r="M15" s="116"/>
      <c r="N15" s="11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</row>
    <row r="16" spans="1:1023" ht="13" x14ac:dyDescent="0.25">
      <c r="A16" s="60" t="s">
        <v>82</v>
      </c>
      <c r="B16" s="126" t="s">
        <v>11</v>
      </c>
      <c r="C16" s="127">
        <v>65.049319183791567</v>
      </c>
      <c r="D16" s="127">
        <v>12.275731938125213</v>
      </c>
      <c r="E16" s="127">
        <v>15.765514312819654</v>
      </c>
      <c r="F16" s="127">
        <v>6.8883364230287247</v>
      </c>
      <c r="G16" s="127">
        <v>2.1098137530625189E-2</v>
      </c>
      <c r="H16" s="128"/>
      <c r="I16" s="124"/>
      <c r="J16" s="116"/>
      <c r="K16" s="116"/>
      <c r="L16" s="116"/>
      <c r="M16" s="116"/>
      <c r="N16" s="116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</row>
    <row r="17" spans="1:1023" ht="13" x14ac:dyDescent="0.25">
      <c r="A17" s="63" t="s">
        <v>89</v>
      </c>
      <c r="B17" s="126" t="s">
        <v>16</v>
      </c>
      <c r="C17" s="127">
        <v>62.941437781949759</v>
      </c>
      <c r="D17" s="127">
        <v>1.5049405119774821</v>
      </c>
      <c r="E17" s="127">
        <v>2.583019726361417</v>
      </c>
      <c r="F17" s="127">
        <v>32.97060197971134</v>
      </c>
      <c r="G17" s="127">
        <v>0</v>
      </c>
      <c r="H17" s="128"/>
      <c r="I17" s="124"/>
      <c r="J17" s="116"/>
      <c r="K17" s="116"/>
      <c r="L17" s="116"/>
      <c r="M17" s="116"/>
      <c r="N17" s="11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</row>
    <row r="18" spans="1:1023" ht="13" x14ac:dyDescent="0.25">
      <c r="A18" s="63" t="s">
        <v>91</v>
      </c>
      <c r="B18" s="126" t="s">
        <v>49</v>
      </c>
      <c r="C18" s="127">
        <v>62.016359738842638</v>
      </c>
      <c r="D18" s="127">
        <v>8.4316800762181892</v>
      </c>
      <c r="E18" s="127">
        <v>9.2249459791552191</v>
      </c>
      <c r="F18" s="127">
        <v>20.32701420578395</v>
      </c>
      <c r="G18" s="127">
        <v>0</v>
      </c>
      <c r="H18" s="128"/>
      <c r="I18" s="124"/>
      <c r="J18" s="116"/>
      <c r="K18" s="116"/>
      <c r="L18" s="116"/>
      <c r="M18" s="116"/>
      <c r="N18" s="11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</row>
    <row r="19" spans="1:1023" ht="13" x14ac:dyDescent="0.25">
      <c r="A19" s="63" t="s">
        <v>96</v>
      </c>
      <c r="B19" s="126" t="s">
        <v>22</v>
      </c>
      <c r="C19" s="127">
        <v>57.726775707866764</v>
      </c>
      <c r="D19" s="127">
        <v>29.756311087294634</v>
      </c>
      <c r="E19" s="127">
        <v>0</v>
      </c>
      <c r="F19" s="127">
        <v>12.299327992395749</v>
      </c>
      <c r="G19" s="127">
        <v>0.2175852124428467</v>
      </c>
      <c r="H19" s="128"/>
      <c r="I19" s="124"/>
      <c r="J19" s="116"/>
      <c r="K19" s="116"/>
      <c r="L19" s="116"/>
      <c r="M19" s="116"/>
      <c r="N19" s="11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</row>
    <row r="20" spans="1:1023" ht="13" x14ac:dyDescent="0.25">
      <c r="A20" s="63" t="s">
        <v>81</v>
      </c>
      <c r="B20" s="126" t="s">
        <v>10</v>
      </c>
      <c r="C20" s="127">
        <v>54.293122638631594</v>
      </c>
      <c r="D20" s="127">
        <v>28.269355775682492</v>
      </c>
      <c r="E20" s="127">
        <v>3.8911877112276088</v>
      </c>
      <c r="F20" s="127">
        <v>13.330394687069189</v>
      </c>
      <c r="G20" s="127">
        <v>0.21593919325566305</v>
      </c>
      <c r="H20" s="128"/>
      <c r="I20" s="124"/>
      <c r="J20" s="116"/>
      <c r="K20" s="116"/>
      <c r="L20" s="116"/>
      <c r="M20" s="116"/>
      <c r="N20" s="11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</row>
    <row r="21" spans="1:1023" ht="13" x14ac:dyDescent="0.25">
      <c r="A21" s="60" t="s">
        <v>93</v>
      </c>
      <c r="B21" s="126" t="s">
        <v>19</v>
      </c>
      <c r="C21" s="127">
        <v>52.268209847397209</v>
      </c>
      <c r="D21" s="127">
        <v>3.5280596431739348</v>
      </c>
      <c r="E21" s="127">
        <v>19.604450399671808</v>
      </c>
      <c r="F21" s="127">
        <v>24.473104501218213</v>
      </c>
      <c r="G21" s="127">
        <v>0.12617560853882351</v>
      </c>
      <c r="H21" s="128"/>
      <c r="I21" s="124"/>
      <c r="J21" s="116"/>
      <c r="K21" s="116"/>
      <c r="L21" s="116"/>
      <c r="M21" s="116"/>
      <c r="N21" s="116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</row>
    <row r="22" spans="1:1023" ht="13" x14ac:dyDescent="0.25">
      <c r="A22" s="63" t="s">
        <v>97</v>
      </c>
      <c r="B22" s="126" t="s">
        <v>23</v>
      </c>
      <c r="C22" s="127">
        <v>52.133884349239011</v>
      </c>
      <c r="D22" s="127">
        <v>0</v>
      </c>
      <c r="E22" s="127">
        <v>7.3977502551559171</v>
      </c>
      <c r="F22" s="127">
        <v>39.591310606466415</v>
      </c>
      <c r="G22" s="127">
        <v>0.87705478913864954</v>
      </c>
      <c r="H22" s="128"/>
      <c r="I22" s="124"/>
      <c r="J22" s="116"/>
      <c r="K22" s="116"/>
      <c r="L22" s="116"/>
      <c r="M22" s="116"/>
      <c r="N22" s="116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</row>
    <row r="23" spans="1:1023" ht="13" x14ac:dyDescent="0.25">
      <c r="A23" s="63" t="s">
        <v>88</v>
      </c>
      <c r="B23" s="126" t="s">
        <v>15</v>
      </c>
      <c r="C23" s="127">
        <v>51.635474809574212</v>
      </c>
      <c r="D23" s="127">
        <v>19.005756992517313</v>
      </c>
      <c r="E23" s="127">
        <v>7.945325192069923</v>
      </c>
      <c r="F23" s="127">
        <v>20.273271684340873</v>
      </c>
      <c r="G23" s="127">
        <v>1.1401713214976814</v>
      </c>
      <c r="H23" s="128"/>
      <c r="I23" s="124"/>
      <c r="J23" s="116"/>
      <c r="K23" s="116"/>
      <c r="L23" s="116"/>
      <c r="M23" s="116"/>
      <c r="N23" s="11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</row>
    <row r="24" spans="1:1023" ht="13" x14ac:dyDescent="0.25">
      <c r="A24" s="60" t="s">
        <v>87</v>
      </c>
      <c r="B24" s="126" t="s">
        <v>14</v>
      </c>
      <c r="C24" s="127">
        <v>48.287472613970657</v>
      </c>
      <c r="D24" s="127">
        <v>5.2141462991773349</v>
      </c>
      <c r="E24" s="127">
        <v>3.3999102128616303</v>
      </c>
      <c r="F24" s="127">
        <v>42.96996812927096</v>
      </c>
      <c r="G24" s="127">
        <v>0.12850274471942214</v>
      </c>
      <c r="H24" s="128"/>
      <c r="I24" s="124"/>
      <c r="J24" s="116"/>
      <c r="K24" s="116"/>
      <c r="L24" s="116"/>
      <c r="M24" s="116"/>
      <c r="N24" s="11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</row>
    <row r="25" spans="1:1023" ht="13" x14ac:dyDescent="0.25">
      <c r="A25" s="63" t="s">
        <v>84</v>
      </c>
      <c r="B25" s="126" t="s">
        <v>13</v>
      </c>
      <c r="C25" s="127">
        <v>45.903048838708749</v>
      </c>
      <c r="D25" s="127">
        <v>16.915825680160545</v>
      </c>
      <c r="E25" s="127">
        <v>1.6207737741376733</v>
      </c>
      <c r="F25" s="127">
        <v>35.560345801068216</v>
      </c>
      <c r="G25" s="127">
        <v>5.910706941907703E-6</v>
      </c>
      <c r="H25" s="128"/>
      <c r="I25" s="124"/>
      <c r="J25" s="116"/>
      <c r="K25" s="116"/>
      <c r="L25" s="116"/>
      <c r="M25" s="116"/>
      <c r="N25" s="11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</row>
    <row r="26" spans="1:1023" ht="13" x14ac:dyDescent="0.25">
      <c r="A26" s="60" t="s">
        <v>94</v>
      </c>
      <c r="B26" s="126" t="s">
        <v>20</v>
      </c>
      <c r="C26" s="127">
        <v>45.181548419976473</v>
      </c>
      <c r="D26" s="127">
        <v>19.66182010109522</v>
      </c>
      <c r="E26" s="127">
        <v>2.9686012395039088</v>
      </c>
      <c r="F26" s="127">
        <v>32.187791999280513</v>
      </c>
      <c r="G26" s="127">
        <v>2.3824014388116425E-4</v>
      </c>
      <c r="H26" s="128"/>
      <c r="I26" s="124"/>
      <c r="J26" s="116"/>
      <c r="K26" s="116"/>
      <c r="L26" s="116"/>
      <c r="M26" s="116"/>
      <c r="N26" s="11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</row>
    <row r="27" spans="1:1023" ht="13" x14ac:dyDescent="0.25">
      <c r="A27" s="60" t="s">
        <v>83</v>
      </c>
      <c r="B27" s="126" t="s">
        <v>12</v>
      </c>
      <c r="C27" s="127">
        <v>44.39618960616626</v>
      </c>
      <c r="D27" s="127">
        <v>25.504066895328531</v>
      </c>
      <c r="E27" s="127">
        <v>11.889249347611349</v>
      </c>
      <c r="F27" s="127">
        <v>17.731581628084307</v>
      </c>
      <c r="G27" s="127">
        <v>0.47891252280956137</v>
      </c>
      <c r="H27" s="128"/>
      <c r="I27" s="124"/>
      <c r="J27" s="116"/>
      <c r="K27" s="116"/>
      <c r="L27" s="116"/>
      <c r="M27" s="116"/>
      <c r="N27" s="11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</row>
    <row r="28" spans="1:1023" ht="13" x14ac:dyDescent="0.25">
      <c r="A28" s="63" t="s">
        <v>100</v>
      </c>
      <c r="B28" s="126" t="s">
        <v>26</v>
      </c>
      <c r="C28" s="127">
        <v>44.332977921592907</v>
      </c>
      <c r="D28" s="127">
        <v>18.297812307919852</v>
      </c>
      <c r="E28" s="127">
        <v>9.3531268140510839</v>
      </c>
      <c r="F28" s="127">
        <v>27.809244336188065</v>
      </c>
      <c r="G28" s="127">
        <v>0.2068386202480984</v>
      </c>
      <c r="H28" s="128"/>
      <c r="I28" s="124"/>
      <c r="J28" s="116"/>
      <c r="K28" s="116"/>
      <c r="L28" s="116"/>
      <c r="M28" s="116"/>
      <c r="N28" s="11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</row>
    <row r="29" spans="1:1023" ht="13" x14ac:dyDescent="0.25">
      <c r="A29" s="63" t="s">
        <v>86</v>
      </c>
      <c r="B29" s="126" t="s">
        <v>168</v>
      </c>
      <c r="C29" s="127">
        <v>34.746935814537117</v>
      </c>
      <c r="D29" s="127">
        <v>12.184031782207819</v>
      </c>
      <c r="E29" s="127">
        <v>3.0198556309978577</v>
      </c>
      <c r="F29" s="127">
        <v>50.01667022862275</v>
      </c>
      <c r="G29" s="127">
        <v>3.2506543634450144E-2</v>
      </c>
      <c r="H29" s="128"/>
      <c r="I29" s="124"/>
      <c r="J29" s="116"/>
      <c r="K29" s="116"/>
      <c r="L29" s="116"/>
      <c r="M29" s="116"/>
      <c r="N29" s="11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</row>
    <row r="30" spans="1:1023" ht="13" x14ac:dyDescent="0.25">
      <c r="A30" s="60" t="s">
        <v>98</v>
      </c>
      <c r="B30" s="126" t="s">
        <v>24</v>
      </c>
      <c r="C30" s="127">
        <v>34.0141110977642</v>
      </c>
      <c r="D30" s="127">
        <v>20.36321377696056</v>
      </c>
      <c r="E30" s="127">
        <v>5.0713705817769119</v>
      </c>
      <c r="F30" s="127">
        <v>40.422916859996093</v>
      </c>
      <c r="G30" s="127">
        <v>0.12838768350223412</v>
      </c>
      <c r="H30" s="128"/>
      <c r="I30" s="124"/>
      <c r="J30" s="116"/>
      <c r="K30" s="116"/>
      <c r="L30" s="116"/>
      <c r="M30" s="116"/>
      <c r="N30" s="116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</row>
    <row r="31" spans="1:1023" ht="13" x14ac:dyDescent="0.25">
      <c r="A31" s="63" t="s">
        <v>99</v>
      </c>
      <c r="B31" s="126" t="s">
        <v>25</v>
      </c>
      <c r="C31" s="127">
        <v>32.630145133220275</v>
      </c>
      <c r="D31" s="127">
        <v>38.998791328550588</v>
      </c>
      <c r="E31" s="127">
        <v>2.760218465403999</v>
      </c>
      <c r="F31" s="127">
        <v>25.38428223656468</v>
      </c>
      <c r="G31" s="127">
        <v>0.22656283626045931</v>
      </c>
      <c r="H31" s="128"/>
      <c r="I31" s="124"/>
      <c r="J31" s="116"/>
      <c r="K31" s="116"/>
      <c r="L31" s="116"/>
      <c r="M31" s="116"/>
      <c r="N31" s="11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</row>
    <row r="32" spans="1:1023" ht="13" x14ac:dyDescent="0.25">
      <c r="A32" s="63" t="s">
        <v>95</v>
      </c>
      <c r="B32" s="126" t="s">
        <v>21</v>
      </c>
      <c r="C32" s="127">
        <v>27.745046963518615</v>
      </c>
      <c r="D32" s="127">
        <v>30.410215825621489</v>
      </c>
      <c r="E32" s="127">
        <v>5.3402799400472691</v>
      </c>
      <c r="F32" s="127">
        <v>36.122311244692909</v>
      </c>
      <c r="G32" s="127">
        <v>0.38214602611972159</v>
      </c>
      <c r="H32" s="128"/>
      <c r="I32" s="124"/>
      <c r="J32" s="116"/>
      <c r="K32" s="116"/>
      <c r="L32" s="116"/>
      <c r="M32" s="116"/>
      <c r="N32" s="11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</row>
    <row r="33" spans="1:1023" ht="13" x14ac:dyDescent="0.25">
      <c r="A33" s="60" t="s">
        <v>102</v>
      </c>
      <c r="B33" s="126" t="s">
        <v>28</v>
      </c>
      <c r="C33" s="127">
        <v>26.396177974569024</v>
      </c>
      <c r="D33" s="127">
        <v>69.061046105590748</v>
      </c>
      <c r="E33" s="127">
        <v>1.1735290712181998</v>
      </c>
      <c r="F33" s="127">
        <v>3.0462134038316258</v>
      </c>
      <c r="G33" s="127">
        <v>0.32303344479040408</v>
      </c>
      <c r="H33" s="128"/>
      <c r="I33" s="124"/>
      <c r="J33" s="116"/>
      <c r="K33" s="116"/>
      <c r="L33" s="116"/>
      <c r="M33" s="116"/>
      <c r="N33" s="11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</row>
    <row r="34" spans="1:1023" ht="13" x14ac:dyDescent="0.25">
      <c r="A34" s="63" t="s">
        <v>105</v>
      </c>
      <c r="B34" s="126" t="s">
        <v>31</v>
      </c>
      <c r="C34" s="127">
        <v>21.721901491053831</v>
      </c>
      <c r="D34" s="127">
        <v>1.8736139561456775</v>
      </c>
      <c r="E34" s="127">
        <v>5.8960486533546232</v>
      </c>
      <c r="F34" s="127">
        <v>70.475016009904962</v>
      </c>
      <c r="G34" s="127">
        <v>3.3419889540911546E-2</v>
      </c>
      <c r="H34" s="128"/>
      <c r="I34" s="124"/>
      <c r="J34" s="116"/>
      <c r="K34" s="116"/>
      <c r="L34" s="116"/>
      <c r="M34" s="116"/>
      <c r="N34" s="116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</row>
    <row r="35" spans="1:1023" ht="13" x14ac:dyDescent="0.25">
      <c r="A35" s="63" t="s">
        <v>104</v>
      </c>
      <c r="B35" s="126" t="s">
        <v>30</v>
      </c>
      <c r="C35" s="127">
        <v>13.247088936482591</v>
      </c>
      <c r="D35" s="127">
        <v>1.1824387678340098</v>
      </c>
      <c r="E35" s="127">
        <v>4.3624890620447401</v>
      </c>
      <c r="F35" s="127">
        <v>81.001593846461233</v>
      </c>
      <c r="G35" s="127">
        <v>0.20638938717742228</v>
      </c>
      <c r="H35" s="128"/>
      <c r="I35" s="124"/>
      <c r="J35" s="116"/>
      <c r="K35" s="116"/>
      <c r="L35" s="116"/>
      <c r="M35" s="116"/>
      <c r="N35" s="11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</row>
    <row r="36" spans="1:1023" ht="13" x14ac:dyDescent="0.25">
      <c r="A36" s="60" t="s">
        <v>85</v>
      </c>
      <c r="B36" s="126" t="s">
        <v>185</v>
      </c>
      <c r="C36" s="127">
        <v>9.1567599689840193</v>
      </c>
      <c r="D36" s="127">
        <v>53.366151865608103</v>
      </c>
      <c r="E36" s="127">
        <v>8.3777788885199325</v>
      </c>
      <c r="F36" s="127">
        <v>29.031489454884369</v>
      </c>
      <c r="G36" s="127">
        <v>6.7819822003577543E-2</v>
      </c>
      <c r="H36" s="128"/>
      <c r="I36" s="124"/>
      <c r="J36" s="116"/>
      <c r="K36" s="116"/>
      <c r="L36" s="116"/>
      <c r="M36" s="116"/>
      <c r="N36" s="11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</row>
    <row r="37" spans="1:1023" ht="13" x14ac:dyDescent="0.25">
      <c r="A37" s="60" t="s">
        <v>80</v>
      </c>
      <c r="B37" s="126" t="s">
        <v>9</v>
      </c>
      <c r="C37" s="127">
        <v>6.2331747120383882</v>
      </c>
      <c r="D37" s="127">
        <v>0</v>
      </c>
      <c r="E37" s="127">
        <v>0.74369655058244755</v>
      </c>
      <c r="F37" s="127">
        <v>93.01920410333085</v>
      </c>
      <c r="G37" s="127">
        <v>3.9246340482981638E-3</v>
      </c>
      <c r="H37" s="128"/>
      <c r="I37" s="124"/>
      <c r="J37" s="116"/>
      <c r="K37" s="116"/>
      <c r="L37" s="116"/>
      <c r="M37" s="116"/>
      <c r="N37" s="11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</row>
    <row r="38" spans="1:1023" ht="13" x14ac:dyDescent="0.25">
      <c r="A38" s="63" t="s">
        <v>101</v>
      </c>
      <c r="B38" s="17" t="s">
        <v>27</v>
      </c>
      <c r="C38" s="129">
        <v>4.5262994594313257</v>
      </c>
      <c r="D38" s="129">
        <v>0.35706964006638486</v>
      </c>
      <c r="E38" s="129">
        <v>1.20527949694671</v>
      </c>
      <c r="F38" s="129">
        <v>93.829095739346187</v>
      </c>
      <c r="G38" s="129">
        <v>8.2255664856529104E-2</v>
      </c>
      <c r="H38" s="128"/>
      <c r="I38" s="124"/>
      <c r="J38" s="116"/>
      <c r="K38" s="116"/>
      <c r="L38" s="116"/>
      <c r="M38" s="116"/>
      <c r="N38" s="11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</row>
    <row r="39" spans="1:1023" ht="13" x14ac:dyDescent="0.25">
      <c r="A39" s="63"/>
      <c r="B39" s="177"/>
      <c r="C39" s="130"/>
      <c r="D39" s="25"/>
      <c r="E39" s="25"/>
      <c r="F39" s="130"/>
      <c r="G39" s="25"/>
      <c r="H39" s="5"/>
      <c r="I39" s="124"/>
      <c r="J39" s="116"/>
      <c r="K39" s="116"/>
      <c r="L39" s="116"/>
      <c r="M39" s="116"/>
      <c r="N39" s="11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</row>
    <row r="40" spans="1:1023" ht="12.75" customHeight="1" x14ac:dyDescent="0.25">
      <c r="A40" s="63" t="s">
        <v>106</v>
      </c>
      <c r="B40" s="24" t="s">
        <v>184</v>
      </c>
      <c r="C40" s="131">
        <v>58.016810983327126</v>
      </c>
      <c r="D40" s="132">
        <v>2.2832743391293326</v>
      </c>
      <c r="E40" s="132">
        <v>3.6463526068753631</v>
      </c>
      <c r="F40" s="131">
        <v>33.761774404398174</v>
      </c>
      <c r="G40" s="132">
        <v>2.2917876662700087</v>
      </c>
      <c r="H40" s="5"/>
      <c r="I40" s="124"/>
      <c r="J40" s="116"/>
      <c r="K40" s="116"/>
      <c r="L40" s="116"/>
      <c r="M40" s="116"/>
      <c r="N40" s="116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</row>
    <row r="41" spans="1:1023" ht="12.75" customHeight="1" x14ac:dyDescent="0.25">
      <c r="A41" s="60" t="s">
        <v>108</v>
      </c>
      <c r="B41" s="133" t="s">
        <v>32</v>
      </c>
      <c r="C41" s="134">
        <v>36.328729345952837</v>
      </c>
      <c r="D41" s="134">
        <v>0.92632044489276288</v>
      </c>
      <c r="E41" s="134">
        <v>12.282110468456183</v>
      </c>
      <c r="F41" s="134">
        <v>47.567839977053502</v>
      </c>
      <c r="G41" s="134">
        <v>2.8949997636447109</v>
      </c>
      <c r="H41" s="5"/>
      <c r="I41" s="124"/>
      <c r="J41" s="116"/>
      <c r="K41" s="116"/>
      <c r="L41" s="116"/>
      <c r="M41" s="116"/>
      <c r="N41" s="116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</row>
    <row r="42" spans="1:1023" ht="13" x14ac:dyDescent="0.25">
      <c r="A42" s="60"/>
      <c r="B42" s="177"/>
      <c r="C42" s="130"/>
      <c r="D42" s="25"/>
      <c r="E42" s="25"/>
      <c r="F42" s="130"/>
      <c r="G42" s="25"/>
      <c r="H42" s="5"/>
      <c r="I42" s="124"/>
      <c r="J42" s="116"/>
      <c r="K42" s="116"/>
      <c r="L42" s="116"/>
      <c r="M42" s="116"/>
      <c r="N42" s="116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</row>
    <row r="43" spans="1:1023" ht="12" customHeight="1" x14ac:dyDescent="0.3">
      <c r="A43" s="60" t="s">
        <v>110</v>
      </c>
      <c r="B43" s="135" t="s">
        <v>34</v>
      </c>
      <c r="C43" s="131">
        <v>36.939724976024131</v>
      </c>
      <c r="D43" s="132">
        <v>0</v>
      </c>
      <c r="E43" s="132">
        <v>0</v>
      </c>
      <c r="F43" s="131">
        <v>62.721901209125178</v>
      </c>
      <c r="G43" s="132">
        <v>0.33844246443779763</v>
      </c>
      <c r="H43" s="5"/>
      <c r="I43" s="124"/>
      <c r="J43" s="116"/>
      <c r="K43" s="116"/>
      <c r="L43" s="116"/>
      <c r="M43" s="116"/>
      <c r="N43" s="116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</row>
    <row r="44" spans="1:1023" ht="13" x14ac:dyDescent="0.25">
      <c r="A44" s="60" t="s">
        <v>112</v>
      </c>
      <c r="B44" s="126" t="s">
        <v>139</v>
      </c>
      <c r="C44" s="127">
        <v>31.236658261314204</v>
      </c>
      <c r="D44" s="127">
        <v>0</v>
      </c>
      <c r="E44" s="127">
        <v>0.8262525148268075</v>
      </c>
      <c r="F44" s="127">
        <v>67.655417790801337</v>
      </c>
      <c r="G44" s="127">
        <v>0</v>
      </c>
      <c r="H44" s="5"/>
      <c r="I44" s="124"/>
      <c r="J44" s="116"/>
      <c r="K44" s="116"/>
      <c r="L44" s="116"/>
      <c r="M44" s="116"/>
      <c r="N44" s="11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</row>
    <row r="45" spans="1:1023" ht="13" x14ac:dyDescent="0.25">
      <c r="A45" s="60" t="s">
        <v>109</v>
      </c>
      <c r="B45" s="126" t="s">
        <v>33</v>
      </c>
      <c r="C45" s="127">
        <v>5.6095982627167222</v>
      </c>
      <c r="D45" s="127">
        <v>0</v>
      </c>
      <c r="E45" s="127">
        <v>0.15235337645590799</v>
      </c>
      <c r="F45" s="127">
        <v>94.238048360827364</v>
      </c>
      <c r="G45" s="127">
        <v>0</v>
      </c>
      <c r="H45" s="5"/>
      <c r="I45" s="124"/>
      <c r="J45" s="116"/>
      <c r="K45" s="116"/>
      <c r="L45" s="116"/>
      <c r="M45" s="116"/>
      <c r="N45" s="11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</row>
    <row r="46" spans="1:1023" ht="10.5" customHeight="1" x14ac:dyDescent="0.25">
      <c r="A46" s="60" t="s">
        <v>111</v>
      </c>
      <c r="B46" s="126" t="s">
        <v>35</v>
      </c>
      <c r="C46" s="127">
        <v>3.0002328632634212</v>
      </c>
      <c r="D46" s="127">
        <v>1.0217882370530125</v>
      </c>
      <c r="E46" s="127">
        <v>0.18890283682246203</v>
      </c>
      <c r="F46" s="127">
        <v>95.789076062861099</v>
      </c>
      <c r="G46" s="127">
        <v>0</v>
      </c>
      <c r="H46" s="5"/>
      <c r="I46" s="124"/>
      <c r="J46" s="116"/>
      <c r="K46" s="116"/>
      <c r="L46" s="116"/>
      <c r="M46" s="116"/>
      <c r="N46" s="11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</row>
    <row r="47" spans="1:1023" ht="13" x14ac:dyDescent="0.25">
      <c r="A47" s="13" t="s">
        <v>145</v>
      </c>
      <c r="B47" s="50" t="s">
        <v>194</v>
      </c>
      <c r="C47" s="127">
        <v>16.093771118167584</v>
      </c>
      <c r="D47" s="127">
        <v>0</v>
      </c>
      <c r="E47" s="127">
        <v>2.0961371122419692</v>
      </c>
      <c r="F47" s="127">
        <v>81.487994630195743</v>
      </c>
      <c r="G47" s="127">
        <v>0.32209713939471252</v>
      </c>
      <c r="H47" s="5"/>
      <c r="I47" s="124"/>
      <c r="J47" s="116"/>
      <c r="K47" s="116"/>
      <c r="L47" s="116"/>
      <c r="M47" s="116"/>
      <c r="N47" s="11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</row>
    <row r="48" spans="1:1023" ht="13" x14ac:dyDescent="0.25">
      <c r="A48" s="60" t="s">
        <v>114</v>
      </c>
      <c r="B48" s="133" t="s">
        <v>197</v>
      </c>
      <c r="C48" s="189">
        <v>8.8148501621911546</v>
      </c>
      <c r="D48" s="134">
        <v>0</v>
      </c>
      <c r="E48" s="134">
        <v>0</v>
      </c>
      <c r="F48" s="189">
        <v>90.12733752059475</v>
      </c>
      <c r="G48" s="134">
        <v>1.0578123172140881</v>
      </c>
      <c r="H48" s="5"/>
      <c r="I48" s="124"/>
      <c r="J48" s="116"/>
      <c r="K48" s="116"/>
      <c r="L48" s="116"/>
      <c r="M48" s="116"/>
      <c r="N48" s="11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</row>
    <row r="49" spans="1:1023" ht="13" x14ac:dyDescent="0.25">
      <c r="A49" s="60"/>
      <c r="B49" s="24"/>
      <c r="C49" s="131"/>
      <c r="D49" s="132"/>
      <c r="E49" s="132"/>
      <c r="F49" s="131"/>
      <c r="G49" s="132"/>
      <c r="H49" s="5"/>
      <c r="I49" s="124"/>
      <c r="J49" s="116"/>
      <c r="K49" s="116"/>
      <c r="L49" s="116"/>
      <c r="M49" s="116"/>
      <c r="N49" s="11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</row>
    <row r="50" spans="1:1023" ht="12.75" customHeight="1" x14ac:dyDescent="0.25">
      <c r="A50" s="60"/>
      <c r="B50" s="137"/>
      <c r="C50" s="71"/>
      <c r="D50" s="71"/>
      <c r="E50" s="71"/>
      <c r="F50" s="71"/>
      <c r="G50" s="71"/>
      <c r="H50" s="176"/>
      <c r="K50" s="5"/>
      <c r="L50" s="116"/>
      <c r="P50" s="124"/>
      <c r="Q50" s="124"/>
      <c r="R50" s="124"/>
      <c r="S50" s="124"/>
      <c r="T50" s="124"/>
      <c r="U50" s="124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</row>
    <row r="51" spans="1:1023" ht="14.5" customHeight="1" x14ac:dyDescent="0.25">
      <c r="A51" s="5"/>
      <c r="B51" s="5" t="s">
        <v>169</v>
      </c>
      <c r="C51" s="176"/>
      <c r="D51" s="176"/>
      <c r="E51" s="176"/>
      <c r="F51" s="176"/>
      <c r="G51" s="176"/>
      <c r="H51" s="5"/>
      <c r="K51" s="5"/>
      <c r="L51" s="5"/>
      <c r="P51" s="124"/>
      <c r="Q51" s="124"/>
      <c r="R51" s="124"/>
      <c r="S51" s="124"/>
      <c r="T51" s="124"/>
      <c r="U51" s="124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</row>
    <row r="52" spans="1:1023" ht="14.5" customHeight="1" x14ac:dyDescent="0.25">
      <c r="A52" s="5"/>
      <c r="B52" s="5" t="s">
        <v>189</v>
      </c>
      <c r="C52" s="180"/>
      <c r="D52" s="180"/>
      <c r="E52" s="180"/>
      <c r="F52" s="180"/>
      <c r="G52" s="180"/>
      <c r="H52" s="5"/>
      <c r="K52" s="5"/>
      <c r="L52" s="5"/>
      <c r="P52" s="124"/>
      <c r="Q52" s="124"/>
      <c r="R52" s="124"/>
      <c r="S52" s="124"/>
      <c r="T52" s="124"/>
      <c r="U52" s="1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</row>
    <row r="53" spans="1:1023" ht="14.5" customHeight="1" x14ac:dyDescent="0.25">
      <c r="A53" s="5"/>
      <c r="B53" s="5" t="s">
        <v>193</v>
      </c>
      <c r="C53" s="176"/>
      <c r="D53" s="176"/>
      <c r="E53" s="176"/>
      <c r="F53" s="176"/>
      <c r="G53" s="176"/>
      <c r="H53" s="5"/>
      <c r="K53" s="5"/>
      <c r="L53" s="5"/>
      <c r="P53" s="124"/>
      <c r="Q53" s="124"/>
      <c r="R53" s="124"/>
      <c r="S53" s="124"/>
      <c r="T53" s="124"/>
      <c r="U53" s="1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</row>
    <row r="54" spans="1:1023" x14ac:dyDescent="0.25">
      <c r="A54" s="5"/>
      <c r="B54" s="5" t="s">
        <v>173</v>
      </c>
    </row>
    <row r="55" spans="1:1023" ht="15" customHeight="1" x14ac:dyDescent="0.25">
      <c r="B55" s="99" t="s">
        <v>177</v>
      </c>
    </row>
    <row r="57" spans="1:1023" ht="13" x14ac:dyDescent="0.25">
      <c r="B57" s="41"/>
    </row>
    <row r="58" spans="1:1023" x14ac:dyDescent="0.25">
      <c r="H58" s="138"/>
      <c r="I58" s="96"/>
      <c r="J58" s="96"/>
      <c r="K58" s="96"/>
      <c r="L58" s="96"/>
      <c r="M58" s="96"/>
      <c r="N58" s="96"/>
      <c r="O58" s="96"/>
      <c r="P58" s="96"/>
      <c r="Q58" s="96"/>
    </row>
    <row r="59" spans="1:1023" x14ac:dyDescent="0.25">
      <c r="H59" s="139"/>
      <c r="I59" s="139"/>
      <c r="J59" s="139"/>
      <c r="K59" s="139"/>
      <c r="L59" s="139"/>
      <c r="M59" s="139"/>
      <c r="N59" s="139"/>
      <c r="O59" s="139"/>
      <c r="P59" s="96"/>
      <c r="Q59" s="96"/>
    </row>
    <row r="60" spans="1:1023" x14ac:dyDescent="0.25">
      <c r="B60" s="96"/>
      <c r="C60" s="96"/>
      <c r="D60" s="96"/>
      <c r="E60" s="96"/>
      <c r="F60" s="96"/>
      <c r="G60" s="96"/>
      <c r="H60" s="139"/>
      <c r="I60" s="139"/>
      <c r="J60" s="139"/>
      <c r="K60" s="139"/>
      <c r="L60" s="139"/>
      <c r="M60" s="139"/>
      <c r="N60" s="139"/>
      <c r="O60" s="139"/>
      <c r="P60" s="96"/>
      <c r="Q60" s="96"/>
    </row>
    <row r="61" spans="1:1023" x14ac:dyDescent="0.25">
      <c r="B61" s="96"/>
      <c r="C61" s="96"/>
      <c r="D61" s="96"/>
      <c r="E61" s="96"/>
      <c r="F61" s="96"/>
      <c r="G61" s="139"/>
      <c r="H61" s="139"/>
      <c r="I61" s="139"/>
      <c r="J61" s="139"/>
      <c r="K61" s="139"/>
      <c r="L61" s="139"/>
      <c r="M61" s="139"/>
      <c r="N61" s="139"/>
      <c r="O61" s="139"/>
      <c r="P61" s="96"/>
      <c r="Q61" s="96"/>
    </row>
    <row r="62" spans="1:1023" x14ac:dyDescent="0.25">
      <c r="B62" s="96"/>
      <c r="C62" s="96"/>
      <c r="D62" s="96"/>
      <c r="E62" s="96"/>
      <c r="F62" s="96"/>
      <c r="G62" s="139"/>
      <c r="H62" s="139"/>
      <c r="I62" s="139"/>
      <c r="J62" s="139"/>
      <c r="K62" s="139"/>
      <c r="L62" s="139"/>
      <c r="M62" s="139"/>
      <c r="N62" s="139"/>
      <c r="O62" s="139"/>
      <c r="P62" s="96"/>
      <c r="Q62" s="96"/>
    </row>
    <row r="63" spans="1:1023" x14ac:dyDescent="0.25">
      <c r="B63" s="96"/>
      <c r="C63" s="96"/>
      <c r="D63" s="96"/>
      <c r="E63" s="96"/>
      <c r="F63" s="96"/>
      <c r="G63" s="139"/>
      <c r="H63" s="65"/>
      <c r="I63" s="65"/>
      <c r="J63" s="65"/>
      <c r="K63" s="65"/>
      <c r="L63" s="65"/>
      <c r="M63" s="65"/>
      <c r="N63" s="65"/>
      <c r="O63" s="65"/>
      <c r="P63" s="96"/>
      <c r="Q63" s="96"/>
    </row>
    <row r="64" spans="1:1023" x14ac:dyDescent="0.25">
      <c r="B64" s="96"/>
      <c r="C64" s="96"/>
      <c r="D64" s="96"/>
      <c r="E64" s="96"/>
      <c r="F64" s="96"/>
      <c r="G64" s="139"/>
      <c r="H64" s="139"/>
      <c r="I64" s="139"/>
      <c r="J64" s="139"/>
      <c r="K64" s="139"/>
      <c r="L64" s="139"/>
      <c r="M64" s="139"/>
      <c r="N64" s="139"/>
      <c r="O64" s="139"/>
      <c r="P64" s="96"/>
      <c r="Q64" s="96"/>
    </row>
    <row r="65" spans="2:17" x14ac:dyDescent="0.25">
      <c r="B65" s="5"/>
      <c r="C65" s="96"/>
      <c r="D65" s="96"/>
      <c r="E65" s="96"/>
      <c r="F65" s="96"/>
      <c r="G65" s="65"/>
      <c r="H65" s="139"/>
      <c r="I65" s="139"/>
      <c r="J65" s="139"/>
      <c r="K65" s="139"/>
      <c r="L65" s="139"/>
      <c r="M65" s="139"/>
      <c r="N65" s="139"/>
      <c r="O65" s="139"/>
      <c r="P65" s="96"/>
      <c r="Q65" s="96"/>
    </row>
    <row r="66" spans="2:17" x14ac:dyDescent="0.25">
      <c r="B66" s="96"/>
      <c r="C66" s="96"/>
      <c r="D66" s="96"/>
      <c r="E66" s="96"/>
      <c r="F66" s="96"/>
      <c r="G66" s="139"/>
      <c r="H66" s="138"/>
      <c r="I66" s="96"/>
      <c r="J66" s="96"/>
      <c r="K66" s="96"/>
      <c r="L66" s="96"/>
      <c r="M66" s="96"/>
      <c r="N66" s="96"/>
      <c r="O66" s="96"/>
      <c r="P66" s="96"/>
      <c r="Q66" s="96"/>
    </row>
    <row r="67" spans="2:17" x14ac:dyDescent="0.25">
      <c r="B67" s="96"/>
      <c r="C67" s="96"/>
      <c r="D67" s="96"/>
      <c r="E67" s="96"/>
      <c r="F67" s="96"/>
      <c r="G67" s="139"/>
      <c r="H67" s="138"/>
      <c r="I67" s="96"/>
      <c r="J67" s="96"/>
      <c r="K67" s="96"/>
      <c r="L67" s="96"/>
      <c r="M67" s="96"/>
      <c r="N67" s="96"/>
      <c r="O67" s="96"/>
      <c r="P67" s="96"/>
      <c r="Q67" s="96"/>
    </row>
    <row r="68" spans="2:17" x14ac:dyDescent="0.25">
      <c r="B68" s="96"/>
      <c r="C68" s="96"/>
      <c r="D68" s="96"/>
      <c r="E68" s="96"/>
      <c r="F68" s="96"/>
      <c r="G68" s="96"/>
      <c r="H68" s="138"/>
      <c r="I68" s="96"/>
      <c r="J68" s="96"/>
      <c r="K68" s="96"/>
      <c r="L68" s="96"/>
      <c r="M68" s="96"/>
      <c r="N68" s="96"/>
      <c r="O68" s="96"/>
      <c r="P68" s="96"/>
      <c r="Q68" s="96"/>
    </row>
    <row r="69" spans="2:17" x14ac:dyDescent="0.25">
      <c r="B69" s="96"/>
      <c r="C69" s="96"/>
      <c r="D69" s="96"/>
      <c r="E69" s="96"/>
      <c r="F69" s="96"/>
      <c r="G69" s="96"/>
      <c r="H69" s="140"/>
      <c r="I69" s="140"/>
      <c r="J69" s="140"/>
      <c r="K69" s="140"/>
      <c r="L69" s="140"/>
      <c r="M69" s="140"/>
      <c r="N69" s="140"/>
      <c r="O69" s="140"/>
      <c r="P69" s="96"/>
      <c r="Q69" s="96"/>
    </row>
    <row r="70" spans="2:17" x14ac:dyDescent="0.25">
      <c r="B70" s="96"/>
      <c r="C70" s="96"/>
      <c r="D70" s="96"/>
      <c r="E70" s="96"/>
      <c r="F70" s="96"/>
      <c r="G70" s="96"/>
      <c r="H70" s="140"/>
      <c r="I70" s="140"/>
      <c r="J70" s="140"/>
      <c r="K70" s="140"/>
      <c r="L70" s="140"/>
      <c r="M70" s="140"/>
      <c r="N70" s="140"/>
      <c r="O70" s="140"/>
      <c r="P70" s="96"/>
      <c r="Q70" s="96"/>
    </row>
    <row r="71" spans="2:17" x14ac:dyDescent="0.25">
      <c r="B71" s="96"/>
      <c r="C71" s="96"/>
      <c r="D71" s="96"/>
      <c r="E71" s="96"/>
      <c r="F71" s="140"/>
      <c r="G71" s="140"/>
      <c r="H71" s="138"/>
      <c r="I71" s="96"/>
      <c r="J71" s="96"/>
      <c r="K71" s="96"/>
      <c r="L71" s="96"/>
      <c r="M71" s="96"/>
      <c r="N71" s="96"/>
      <c r="O71" s="96"/>
      <c r="P71" s="96"/>
      <c r="Q71" s="96"/>
    </row>
    <row r="72" spans="2:17" x14ac:dyDescent="0.25">
      <c r="B72" s="96"/>
      <c r="C72" s="96"/>
      <c r="D72" s="96"/>
      <c r="E72" s="96"/>
      <c r="F72" s="140"/>
      <c r="G72" s="140"/>
      <c r="H72" s="138"/>
      <c r="I72" s="96"/>
      <c r="J72" s="96"/>
      <c r="K72" s="96"/>
      <c r="L72" s="96"/>
      <c r="M72" s="96"/>
      <c r="N72" s="96"/>
      <c r="O72" s="96"/>
      <c r="P72" s="96"/>
      <c r="Q72" s="96"/>
    </row>
    <row r="73" spans="2:17" x14ac:dyDescent="0.25">
      <c r="B73" s="96"/>
      <c r="C73" s="96"/>
      <c r="D73" s="96"/>
      <c r="E73" s="96"/>
      <c r="F73" s="96"/>
      <c r="G73" s="96"/>
      <c r="H73" s="138"/>
      <c r="I73" s="96"/>
      <c r="J73" s="96"/>
      <c r="K73" s="96"/>
      <c r="L73" s="96"/>
      <c r="M73" s="96"/>
      <c r="N73" s="96"/>
      <c r="O73" s="96"/>
      <c r="P73" s="96"/>
      <c r="Q73" s="96"/>
    </row>
    <row r="74" spans="2:17" x14ac:dyDescent="0.25">
      <c r="B74" s="96"/>
      <c r="C74" s="96"/>
      <c r="D74" s="96"/>
      <c r="E74" s="96"/>
      <c r="F74" s="96"/>
      <c r="G74" s="96"/>
      <c r="H74" s="138"/>
      <c r="I74" s="96"/>
      <c r="J74" s="96"/>
      <c r="K74" s="96"/>
      <c r="L74" s="96"/>
      <c r="M74" s="96"/>
      <c r="N74" s="96"/>
      <c r="O74" s="96"/>
      <c r="P74" s="96"/>
      <c r="Q74" s="96"/>
    </row>
    <row r="75" spans="2:17" x14ac:dyDescent="0.25">
      <c r="B75" s="96"/>
      <c r="C75" s="96"/>
      <c r="D75" s="96"/>
      <c r="E75" s="96"/>
      <c r="F75" s="96"/>
      <c r="G75" s="96"/>
      <c r="H75" s="138"/>
      <c r="I75" s="96"/>
      <c r="J75" s="96"/>
      <c r="K75" s="96"/>
      <c r="L75" s="96"/>
      <c r="M75" s="96"/>
      <c r="N75" s="96"/>
      <c r="O75" s="96"/>
      <c r="P75" s="96"/>
      <c r="Q75" s="96"/>
    </row>
    <row r="76" spans="2:17" x14ac:dyDescent="0.25">
      <c r="B76" s="96"/>
      <c r="C76" s="96"/>
      <c r="D76" s="96"/>
      <c r="E76" s="96"/>
      <c r="F76" s="96"/>
      <c r="G76" s="96"/>
      <c r="H76" s="138"/>
      <c r="I76" s="96"/>
      <c r="J76" s="96"/>
      <c r="K76" s="96"/>
      <c r="L76" s="96"/>
      <c r="M76" s="96"/>
      <c r="N76" s="96"/>
      <c r="O76" s="96"/>
      <c r="P76" s="96"/>
      <c r="Q76" s="96"/>
    </row>
    <row r="77" spans="2:17" x14ac:dyDescent="0.25">
      <c r="B77" s="96"/>
      <c r="C77" s="96"/>
      <c r="D77" s="96"/>
      <c r="E77" s="96"/>
      <c r="F77" s="96"/>
      <c r="G77" s="96"/>
      <c r="H77" s="138"/>
      <c r="I77" s="96"/>
      <c r="J77" s="96"/>
      <c r="K77" s="96"/>
      <c r="L77" s="96"/>
      <c r="M77" s="96"/>
      <c r="N77" s="96"/>
      <c r="O77" s="96"/>
      <c r="P77" s="96"/>
      <c r="Q77" s="96"/>
    </row>
    <row r="78" spans="2:17" x14ac:dyDescent="0.25">
      <c r="B78" s="96"/>
      <c r="C78" s="96"/>
      <c r="D78" s="96"/>
      <c r="E78" s="96"/>
      <c r="F78" s="96"/>
      <c r="G78" s="96"/>
      <c r="H78" s="138"/>
      <c r="I78" s="96"/>
      <c r="J78" s="96"/>
      <c r="K78" s="96"/>
      <c r="L78" s="96"/>
      <c r="M78" s="96"/>
      <c r="N78" s="96"/>
      <c r="O78" s="96"/>
      <c r="P78" s="96"/>
      <c r="Q78" s="96"/>
    </row>
    <row r="79" spans="2:17" x14ac:dyDescent="0.25">
      <c r="B79" s="96"/>
      <c r="C79" s="96"/>
      <c r="D79" s="96"/>
      <c r="E79" s="96"/>
      <c r="F79" s="96"/>
      <c r="G79" s="96"/>
      <c r="H79" s="138"/>
      <c r="I79" s="96"/>
      <c r="J79" s="96"/>
      <c r="K79" s="96"/>
      <c r="L79" s="96"/>
      <c r="M79" s="96"/>
      <c r="N79" s="96"/>
      <c r="O79" s="96"/>
      <c r="P79" s="96"/>
      <c r="Q79" s="96"/>
    </row>
    <row r="80" spans="2:17" x14ac:dyDescent="0.25">
      <c r="B80" s="96"/>
      <c r="C80" s="96"/>
      <c r="D80" s="96"/>
      <c r="E80" s="96"/>
      <c r="F80" s="96"/>
      <c r="G80" s="96"/>
      <c r="H80" s="138"/>
      <c r="I80" s="96"/>
      <c r="J80" s="96"/>
      <c r="K80" s="96"/>
      <c r="L80" s="96"/>
      <c r="M80" s="96"/>
      <c r="N80" s="96"/>
      <c r="O80" s="96"/>
      <c r="P80" s="96"/>
      <c r="Q80" s="96"/>
    </row>
    <row r="81" spans="2:17" x14ac:dyDescent="0.25">
      <c r="B81" s="96"/>
      <c r="C81" s="96"/>
      <c r="D81" s="96"/>
      <c r="E81" s="96"/>
      <c r="F81" s="96"/>
      <c r="G81" s="96"/>
      <c r="H81" s="138"/>
      <c r="I81" s="96"/>
      <c r="J81" s="96"/>
      <c r="K81" s="96"/>
      <c r="L81" s="96"/>
      <c r="M81" s="96"/>
      <c r="N81" s="96"/>
      <c r="O81" s="96"/>
      <c r="P81" s="96"/>
      <c r="Q81" s="96"/>
    </row>
    <row r="82" spans="2:17" x14ac:dyDescent="0.25">
      <c r="B82" s="96"/>
      <c r="C82" s="96"/>
      <c r="D82" s="96"/>
      <c r="E82" s="96"/>
      <c r="F82" s="96"/>
      <c r="G82" s="96"/>
    </row>
    <row r="83" spans="2:17" x14ac:dyDescent="0.25">
      <c r="B83" s="96"/>
      <c r="C83" s="96"/>
      <c r="D83" s="96"/>
      <c r="E83" s="96"/>
      <c r="F83" s="96"/>
      <c r="G83" s="96"/>
    </row>
  </sheetData>
  <sortState xmlns:xlrd2="http://schemas.microsoft.com/office/spreadsheetml/2017/richdata2" ref="A40:G41">
    <sortCondition descending="1" ref="C40:C41"/>
  </sortState>
  <mergeCells count="2">
    <mergeCell ref="C8:E8"/>
    <mergeCell ref="F8:G8"/>
  </mergeCell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J74"/>
  <sheetViews>
    <sheetView showGridLines="0" zoomScaleNormal="100" workbookViewId="0">
      <selection activeCell="F60" sqref="F60"/>
    </sheetView>
  </sheetViews>
  <sheetFormatPr defaultColWidth="9.09765625" defaultRowHeight="12.5" x14ac:dyDescent="0.25"/>
  <cols>
    <col min="1" max="1" width="11.8984375" style="6"/>
    <col min="2" max="2" width="40.69921875" style="6"/>
    <col min="3" max="3" width="27.59765625" style="6"/>
    <col min="4" max="4" width="9.8984375" style="6" customWidth="1"/>
    <col min="5" max="7" width="27.59765625" style="6"/>
    <col min="8" max="10" width="12.3984375" style="6"/>
    <col min="11" max="11" width="44" style="6"/>
    <col min="12" max="12" width="2" style="6"/>
    <col min="13" max="1024" width="12.3984375" style="6"/>
    <col min="1025" max="16384" width="9.09765625" style="5"/>
  </cols>
  <sheetData>
    <row r="1" spans="1:1023" ht="13" x14ac:dyDescent="0.25">
      <c r="A1" s="141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spans="1:1023" ht="13" x14ac:dyDescent="0.25">
      <c r="A2" s="5"/>
      <c r="B2" s="29" t="s">
        <v>0</v>
      </c>
      <c r="C2" s="5"/>
      <c r="E2" s="5"/>
      <c r="F2" s="5"/>
      <c r="G2" s="5"/>
      <c r="H2" s="5"/>
      <c r="I2" s="5"/>
      <c r="J2" s="5"/>
      <c r="K2" s="1"/>
      <c r="L2" s="1"/>
      <c r="M2" s="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spans="1:1023" ht="13" x14ac:dyDescent="0.25">
      <c r="A3" s="5"/>
      <c r="B3" s="1" t="s">
        <v>1</v>
      </c>
      <c r="C3" s="5"/>
      <c r="E3" s="5"/>
      <c r="F3" s="5"/>
      <c r="G3" s="5"/>
      <c r="H3" s="5"/>
      <c r="I3" s="5"/>
      <c r="J3" s="5"/>
      <c r="K3" s="1"/>
      <c r="L3" s="1"/>
      <c r="M3" s="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</row>
    <row r="4" spans="1:1023" x14ac:dyDescent="0.25">
      <c r="A4" s="5"/>
      <c r="B4" s="5"/>
      <c r="C4" s="5"/>
      <c r="D4" s="5"/>
      <c r="E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</row>
    <row r="5" spans="1:1023" s="177" customFormat="1" ht="13" x14ac:dyDescent="0.25">
      <c r="B5" s="177" t="s">
        <v>154</v>
      </c>
      <c r="D5" s="142"/>
    </row>
    <row r="6" spans="1:1023" x14ac:dyDescent="0.25">
      <c r="A6" s="5"/>
      <c r="B6" s="176" t="s">
        <v>51</v>
      </c>
      <c r="C6" s="176"/>
      <c r="D6" s="176"/>
      <c r="E6" s="176"/>
      <c r="F6" s="176"/>
      <c r="G6" s="176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</row>
    <row r="7" spans="1:1023" x14ac:dyDescent="0.25">
      <c r="A7" s="5"/>
      <c r="B7" s="176"/>
      <c r="C7" s="176"/>
      <c r="D7" s="143"/>
      <c r="E7" s="143"/>
      <c r="F7" s="143"/>
      <c r="G7" s="143"/>
      <c r="H7" s="5"/>
      <c r="I7" s="5"/>
      <c r="J7" s="5"/>
      <c r="K7" s="176"/>
      <c r="L7" s="5"/>
      <c r="M7" s="5"/>
      <c r="N7" s="5"/>
      <c r="O7" s="5"/>
      <c r="P7" s="5"/>
      <c r="Q7" s="5"/>
      <c r="R7" s="5"/>
    </row>
    <row r="8" spans="1:1023" x14ac:dyDescent="0.25">
      <c r="A8" s="5"/>
      <c r="B8" s="5"/>
      <c r="C8" s="5"/>
      <c r="D8" s="144"/>
      <c r="E8" s="36"/>
      <c r="F8" s="36"/>
      <c r="G8" s="36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023" ht="13" x14ac:dyDescent="0.25">
      <c r="A9" s="5"/>
      <c r="B9" s="77"/>
      <c r="C9" s="145" t="s">
        <v>51</v>
      </c>
      <c r="D9" s="144" t="s">
        <v>59</v>
      </c>
      <c r="E9" s="179"/>
      <c r="F9" s="179"/>
      <c r="G9" s="179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023" ht="13" x14ac:dyDescent="0.25">
      <c r="A10" s="146" t="s">
        <v>121</v>
      </c>
      <c r="B10" s="147" t="s">
        <v>118</v>
      </c>
      <c r="C10" s="148">
        <v>99.55</v>
      </c>
      <c r="D10" s="25"/>
      <c r="E10" s="91"/>
      <c r="F10" s="91"/>
      <c r="G10" s="91"/>
      <c r="H10" s="5"/>
      <c r="I10" s="5"/>
      <c r="J10" s="5"/>
      <c r="K10" s="5"/>
      <c r="L10" s="5"/>
      <c r="M10" s="5"/>
      <c r="N10" s="124"/>
      <c r="O10" s="124"/>
      <c r="P10" s="124"/>
      <c r="Q10" s="124"/>
      <c r="R10" s="124"/>
    </row>
    <row r="11" spans="1:1023" ht="13" x14ac:dyDescent="0.25">
      <c r="A11" s="146"/>
      <c r="B11" s="177"/>
      <c r="C11" s="107"/>
      <c r="D11" s="25"/>
      <c r="E11" s="91"/>
      <c r="F11" s="91"/>
      <c r="G11" s="91"/>
      <c r="H11" s="5"/>
      <c r="I11" s="5"/>
      <c r="J11" s="5"/>
      <c r="K11" s="5"/>
      <c r="L11" s="5"/>
      <c r="M11" s="5"/>
      <c r="N11" s="124"/>
      <c r="O11" s="124"/>
      <c r="P11" s="124"/>
      <c r="Q11" s="124"/>
      <c r="R11" s="124"/>
    </row>
    <row r="12" spans="1:1023" ht="13" x14ac:dyDescent="0.25">
      <c r="A12" s="63" t="s">
        <v>104</v>
      </c>
      <c r="B12" s="149" t="s">
        <v>30</v>
      </c>
      <c r="C12" s="150">
        <v>29.334032000000001</v>
      </c>
      <c r="D12" s="34"/>
      <c r="F12" s="91"/>
      <c r="G12" s="91"/>
      <c r="H12" s="5"/>
      <c r="I12" s="5"/>
      <c r="J12" s="5"/>
      <c r="K12" s="5"/>
      <c r="L12" s="5"/>
      <c r="M12" s="5"/>
      <c r="N12" s="124"/>
      <c r="O12" s="124"/>
      <c r="P12" s="124"/>
      <c r="Q12" s="124"/>
      <c r="R12" s="124"/>
    </row>
    <row r="13" spans="1:1023" ht="13" x14ac:dyDescent="0.25">
      <c r="A13" s="63" t="s">
        <v>83</v>
      </c>
      <c r="B13" s="126" t="s">
        <v>12</v>
      </c>
      <c r="C13" s="150">
        <v>21.416803199</v>
      </c>
      <c r="D13" s="34"/>
      <c r="F13" s="91"/>
      <c r="G13" s="91"/>
      <c r="H13" s="5"/>
      <c r="I13" s="5"/>
      <c r="J13" s="5"/>
      <c r="K13" s="5"/>
      <c r="L13" s="5"/>
      <c r="M13" s="5"/>
      <c r="N13" s="124"/>
      <c r="O13" s="124"/>
      <c r="P13" s="124"/>
      <c r="Q13" s="124"/>
      <c r="R13" s="124"/>
    </row>
    <row r="14" spans="1:1023" ht="13" x14ac:dyDescent="0.25">
      <c r="A14" s="63" t="s">
        <v>80</v>
      </c>
      <c r="B14" s="126" t="s">
        <v>9</v>
      </c>
      <c r="C14" s="150">
        <v>13.664910168</v>
      </c>
      <c r="D14" s="34"/>
      <c r="F14" s="91"/>
      <c r="G14" s="91"/>
      <c r="H14" s="5"/>
      <c r="I14" s="5"/>
      <c r="J14" s="5"/>
      <c r="K14" s="5"/>
      <c r="L14" s="5"/>
      <c r="M14" s="5"/>
      <c r="N14" s="124"/>
      <c r="O14" s="124"/>
      <c r="P14" s="124"/>
      <c r="Q14" s="124"/>
      <c r="R14" s="124"/>
    </row>
    <row r="15" spans="1:1023" ht="13" x14ac:dyDescent="0.25">
      <c r="A15" s="63" t="s">
        <v>88</v>
      </c>
      <c r="B15" s="126" t="s">
        <v>15</v>
      </c>
      <c r="C15" s="150">
        <v>7.4992179999999999</v>
      </c>
      <c r="D15" s="34"/>
      <c r="F15" s="91"/>
      <c r="G15" s="91"/>
      <c r="H15" s="5"/>
      <c r="I15" s="5"/>
      <c r="J15" s="5"/>
      <c r="K15" s="5"/>
      <c r="L15" s="5"/>
      <c r="M15" s="5"/>
      <c r="N15" s="124"/>
      <c r="O15" s="124"/>
      <c r="P15" s="124"/>
      <c r="Q15" s="124"/>
      <c r="R15" s="124"/>
    </row>
    <row r="16" spans="1:1023" ht="13" x14ac:dyDescent="0.25">
      <c r="A16" s="63" t="s">
        <v>105</v>
      </c>
      <c r="B16" s="126" t="s">
        <v>31</v>
      </c>
      <c r="C16" s="150">
        <v>6.5770036599999999</v>
      </c>
      <c r="D16" s="151"/>
      <c r="F16" s="91"/>
      <c r="G16" s="91"/>
      <c r="H16" s="5"/>
      <c r="I16" s="5"/>
      <c r="J16" s="5"/>
      <c r="K16" s="5"/>
      <c r="L16" s="5"/>
      <c r="M16" s="5"/>
      <c r="N16" s="124"/>
      <c r="O16" s="124"/>
      <c r="P16" s="124"/>
      <c r="Q16" s="124"/>
      <c r="R16" s="124"/>
    </row>
    <row r="17" spans="1:18" ht="13" x14ac:dyDescent="0.25">
      <c r="A17" s="63" t="s">
        <v>97</v>
      </c>
      <c r="B17" s="126" t="s">
        <v>23</v>
      </c>
      <c r="C17" s="150">
        <v>4.5874430000000004</v>
      </c>
      <c r="D17" s="151"/>
      <c r="F17" s="91"/>
      <c r="G17" s="91"/>
      <c r="H17" s="5"/>
      <c r="I17" s="5"/>
      <c r="J17" s="5"/>
      <c r="K17" s="5"/>
      <c r="L17" s="5"/>
      <c r="M17" s="5"/>
      <c r="N17" s="124"/>
      <c r="O17" s="124"/>
      <c r="P17" s="124"/>
      <c r="Q17" s="124"/>
      <c r="R17" s="124"/>
    </row>
    <row r="18" spans="1:18" ht="13" x14ac:dyDescent="0.25">
      <c r="A18" s="63" t="s">
        <v>90</v>
      </c>
      <c r="B18" s="126" t="s">
        <v>17</v>
      </c>
      <c r="C18" s="150">
        <v>4.0503720000000003</v>
      </c>
      <c r="D18" s="25"/>
      <c r="F18" s="91"/>
      <c r="G18" s="91"/>
      <c r="H18" s="5"/>
      <c r="I18" s="5"/>
      <c r="J18" s="5"/>
      <c r="K18" s="5"/>
      <c r="L18" s="5"/>
      <c r="M18" s="5"/>
      <c r="N18" s="124"/>
      <c r="O18" s="124"/>
      <c r="P18" s="124"/>
      <c r="Q18" s="124"/>
      <c r="R18" s="124"/>
    </row>
    <row r="19" spans="1:18" ht="13" x14ac:dyDescent="0.25">
      <c r="A19" s="63" t="s">
        <v>87</v>
      </c>
      <c r="B19" s="126" t="s">
        <v>14</v>
      </c>
      <c r="C19" s="150">
        <v>2.4760844999999998</v>
      </c>
      <c r="D19" s="25"/>
      <c r="F19" s="91"/>
      <c r="G19" s="91"/>
      <c r="H19" s="5"/>
      <c r="I19" s="5"/>
      <c r="J19" s="5"/>
      <c r="K19" s="5"/>
      <c r="L19" s="5"/>
      <c r="M19" s="5"/>
      <c r="N19" s="124"/>
      <c r="O19" s="124"/>
      <c r="P19" s="124"/>
      <c r="Q19" s="124"/>
      <c r="R19" s="124"/>
    </row>
    <row r="20" spans="1:18" ht="13" x14ac:dyDescent="0.25">
      <c r="A20" s="63" t="s">
        <v>79</v>
      </c>
      <c r="B20" s="126" t="s">
        <v>8</v>
      </c>
      <c r="C20" s="150">
        <v>1.8540749999999999</v>
      </c>
      <c r="D20" s="25"/>
      <c r="F20" s="91"/>
      <c r="G20" s="91"/>
      <c r="H20" s="5"/>
      <c r="I20" s="5"/>
      <c r="J20" s="5"/>
      <c r="K20" s="5"/>
      <c r="L20" s="5"/>
      <c r="M20" s="5"/>
      <c r="N20" s="124"/>
      <c r="O20" s="124"/>
      <c r="P20" s="124"/>
      <c r="Q20" s="124"/>
      <c r="R20" s="124"/>
    </row>
    <row r="21" spans="1:18" ht="13" x14ac:dyDescent="0.25">
      <c r="A21" s="63" t="s">
        <v>99</v>
      </c>
      <c r="B21" s="126" t="s">
        <v>25</v>
      </c>
      <c r="C21" s="150">
        <v>1.596539052</v>
      </c>
      <c r="D21" s="25"/>
      <c r="F21" s="91"/>
      <c r="G21" s="91"/>
      <c r="H21" s="5"/>
      <c r="I21" s="5"/>
      <c r="J21" s="5"/>
      <c r="K21" s="5"/>
      <c r="L21" s="5"/>
      <c r="M21" s="5"/>
      <c r="N21" s="124"/>
      <c r="O21" s="124"/>
      <c r="P21" s="124"/>
      <c r="Q21" s="124"/>
      <c r="R21" s="124"/>
    </row>
    <row r="22" spans="1:18" ht="13" x14ac:dyDescent="0.25">
      <c r="A22" s="63" t="s">
        <v>84</v>
      </c>
      <c r="B22" s="126" t="s">
        <v>13</v>
      </c>
      <c r="C22" s="150">
        <v>1.4606583289999999</v>
      </c>
      <c r="D22" s="25"/>
      <c r="F22" s="91"/>
      <c r="G22" s="91"/>
      <c r="H22" s="5"/>
      <c r="I22" s="5"/>
      <c r="J22" s="5"/>
      <c r="K22" s="5"/>
      <c r="L22" s="5"/>
      <c r="M22" s="5"/>
      <c r="N22" s="124"/>
      <c r="O22" s="124"/>
      <c r="P22" s="124"/>
      <c r="Q22" s="124"/>
      <c r="R22" s="124"/>
    </row>
    <row r="23" spans="1:18" ht="13" x14ac:dyDescent="0.25">
      <c r="A23" s="63" t="s">
        <v>82</v>
      </c>
      <c r="B23" s="126" t="s">
        <v>11</v>
      </c>
      <c r="C23" s="150">
        <v>1.26820377</v>
      </c>
      <c r="D23" s="25"/>
      <c r="F23" s="91"/>
      <c r="G23" s="91"/>
      <c r="H23" s="5"/>
      <c r="I23" s="5"/>
      <c r="J23" s="5"/>
      <c r="K23" s="5"/>
      <c r="L23" s="5"/>
      <c r="M23" s="5"/>
      <c r="N23" s="124"/>
      <c r="O23" s="124"/>
      <c r="P23" s="124"/>
      <c r="Q23" s="124"/>
      <c r="R23" s="124"/>
    </row>
    <row r="24" spans="1:18" ht="13" x14ac:dyDescent="0.25">
      <c r="A24" s="63" t="s">
        <v>86</v>
      </c>
      <c r="B24" s="126" t="s">
        <v>168</v>
      </c>
      <c r="C24" s="150">
        <v>0.67391158900000003</v>
      </c>
      <c r="D24" s="25"/>
      <c r="F24" s="91"/>
      <c r="G24" s="91"/>
      <c r="H24" s="5"/>
      <c r="I24" s="5"/>
      <c r="J24" s="5"/>
      <c r="K24" s="5"/>
      <c r="L24" s="5"/>
      <c r="M24" s="5"/>
      <c r="N24" s="124"/>
      <c r="O24" s="124"/>
      <c r="P24" s="124"/>
      <c r="Q24" s="124"/>
      <c r="R24" s="124"/>
    </row>
    <row r="25" spans="1:18" ht="13" x14ac:dyDescent="0.25">
      <c r="A25" s="63" t="s">
        <v>81</v>
      </c>
      <c r="B25" s="152" t="s">
        <v>10</v>
      </c>
      <c r="C25" s="150">
        <v>0.56168929599999995</v>
      </c>
      <c r="D25" s="25"/>
      <c r="F25" s="91"/>
      <c r="G25" s="91"/>
      <c r="H25" s="5"/>
      <c r="I25" s="5"/>
      <c r="J25" s="5"/>
      <c r="K25" s="5"/>
      <c r="L25" s="5"/>
      <c r="M25" s="5"/>
      <c r="N25" s="124"/>
      <c r="O25" s="124"/>
      <c r="P25" s="124"/>
      <c r="Q25" s="124"/>
      <c r="R25" s="124"/>
    </row>
    <row r="26" spans="1:18" ht="13" x14ac:dyDescent="0.25">
      <c r="A26" s="63" t="s">
        <v>95</v>
      </c>
      <c r="B26" s="126" t="s">
        <v>21</v>
      </c>
      <c r="C26" s="150">
        <v>0.52237800000000001</v>
      </c>
      <c r="D26" s="25"/>
      <c r="F26" s="91"/>
      <c r="G26" s="91"/>
      <c r="H26" s="5"/>
      <c r="I26" s="5"/>
      <c r="J26" s="5"/>
      <c r="K26" s="5"/>
      <c r="L26" s="5"/>
      <c r="M26" s="5"/>
      <c r="N26" s="124"/>
      <c r="O26" s="124"/>
      <c r="P26" s="124"/>
      <c r="Q26" s="124"/>
      <c r="R26" s="124"/>
    </row>
    <row r="27" spans="1:18" ht="13" x14ac:dyDescent="0.25">
      <c r="A27" s="63" t="s">
        <v>98</v>
      </c>
      <c r="B27" s="126" t="s">
        <v>24</v>
      </c>
      <c r="C27" s="150">
        <v>0.47981573399999999</v>
      </c>
      <c r="D27" s="25"/>
      <c r="F27" s="91"/>
      <c r="G27" s="91"/>
      <c r="H27" s="5"/>
      <c r="I27" s="5"/>
      <c r="J27" s="5"/>
      <c r="K27" s="5"/>
      <c r="L27" s="5"/>
      <c r="M27" s="5"/>
      <c r="N27" s="124"/>
      <c r="O27" s="124"/>
      <c r="P27" s="124"/>
      <c r="Q27" s="124"/>
      <c r="R27" s="124"/>
    </row>
    <row r="28" spans="1:18" ht="13" x14ac:dyDescent="0.25">
      <c r="A28" s="63" t="s">
        <v>101</v>
      </c>
      <c r="B28" s="126" t="s">
        <v>27</v>
      </c>
      <c r="C28" s="150">
        <v>0.468562115</v>
      </c>
      <c r="D28" s="25"/>
      <c r="F28" s="91"/>
      <c r="G28" s="91"/>
      <c r="H28" s="5"/>
      <c r="I28" s="5"/>
      <c r="J28" s="5"/>
      <c r="K28" s="5"/>
      <c r="L28" s="5"/>
      <c r="M28" s="5"/>
      <c r="N28" s="124"/>
      <c r="O28" s="124"/>
      <c r="P28" s="124"/>
      <c r="Q28" s="124"/>
      <c r="R28" s="124"/>
    </row>
    <row r="29" spans="1:18" ht="13" x14ac:dyDescent="0.25">
      <c r="A29" s="63" t="s">
        <v>100</v>
      </c>
      <c r="B29" s="126" t="s">
        <v>26</v>
      </c>
      <c r="C29" s="150">
        <v>0.44832493000000001</v>
      </c>
      <c r="D29" s="25"/>
      <c r="F29" s="91"/>
      <c r="G29" s="91"/>
      <c r="H29" s="5"/>
      <c r="I29" s="5"/>
      <c r="J29" s="5"/>
      <c r="K29" s="5"/>
      <c r="L29" s="5"/>
      <c r="M29" s="5"/>
      <c r="N29" s="124"/>
      <c r="O29" s="124"/>
      <c r="P29" s="124"/>
      <c r="Q29" s="124"/>
      <c r="R29" s="124"/>
    </row>
    <row r="30" spans="1:18" ht="13" x14ac:dyDescent="0.25">
      <c r="A30" s="63" t="s">
        <v>103</v>
      </c>
      <c r="B30" s="126" t="s">
        <v>29</v>
      </c>
      <c r="C30" s="150">
        <v>0.13930234700000002</v>
      </c>
      <c r="D30" s="25"/>
      <c r="F30" s="91"/>
      <c r="G30" s="91"/>
      <c r="H30" s="5"/>
      <c r="I30" s="5"/>
      <c r="J30" s="5"/>
      <c r="K30" s="5"/>
      <c r="L30" s="5"/>
      <c r="M30" s="5"/>
      <c r="N30" s="124"/>
      <c r="O30" s="124"/>
      <c r="P30" s="124"/>
      <c r="Q30" s="124"/>
      <c r="R30" s="124"/>
    </row>
    <row r="31" spans="1:18" ht="13" x14ac:dyDescent="0.25">
      <c r="A31" s="63" t="s">
        <v>85</v>
      </c>
      <c r="B31" s="126" t="s">
        <v>185</v>
      </c>
      <c r="C31" s="150">
        <v>0.107699356</v>
      </c>
      <c r="D31" s="25"/>
      <c r="F31" s="91"/>
      <c r="G31" s="91"/>
      <c r="H31" s="5"/>
      <c r="I31" s="5"/>
      <c r="J31" s="5"/>
      <c r="K31" s="5"/>
      <c r="L31" s="5"/>
      <c r="M31" s="5"/>
      <c r="N31" s="124"/>
      <c r="O31" s="124"/>
      <c r="P31" s="124"/>
      <c r="Q31" s="124"/>
      <c r="R31" s="124"/>
    </row>
    <row r="32" spans="1:18" ht="13" x14ac:dyDescent="0.25">
      <c r="A32" s="63" t="s">
        <v>93</v>
      </c>
      <c r="B32" s="126" t="s">
        <v>19</v>
      </c>
      <c r="C32" s="150">
        <v>9.7694901000000001E-2</v>
      </c>
      <c r="D32" s="25"/>
      <c r="F32" s="91"/>
      <c r="G32" s="91"/>
      <c r="H32" s="5"/>
      <c r="I32" s="5"/>
      <c r="J32" s="5"/>
      <c r="K32" s="5"/>
      <c r="L32" s="5"/>
      <c r="M32" s="5"/>
      <c r="N32" s="124"/>
      <c r="O32" s="124"/>
      <c r="P32" s="124"/>
      <c r="Q32" s="124"/>
      <c r="R32" s="124"/>
    </row>
    <row r="33" spans="1:18" ht="13" x14ac:dyDescent="0.25">
      <c r="A33" s="63" t="s">
        <v>89</v>
      </c>
      <c r="B33" s="126" t="s">
        <v>16</v>
      </c>
      <c r="C33" s="150">
        <v>9.7547627999999997E-2</v>
      </c>
      <c r="D33" s="25"/>
      <c r="F33" s="91"/>
      <c r="G33" s="91"/>
      <c r="H33" s="5"/>
      <c r="I33" s="5"/>
      <c r="J33" s="5"/>
      <c r="K33" s="5"/>
      <c r="L33" s="5"/>
      <c r="M33" s="5"/>
      <c r="N33" s="124"/>
      <c r="O33" s="124"/>
      <c r="P33" s="124"/>
      <c r="Q33" s="124"/>
      <c r="R33" s="124"/>
    </row>
    <row r="34" spans="1:18" ht="13" x14ac:dyDescent="0.25">
      <c r="A34" s="63" t="s">
        <v>102</v>
      </c>
      <c r="B34" s="126" t="s">
        <v>28</v>
      </c>
      <c r="C34" s="150">
        <v>5.4634207000000004E-2</v>
      </c>
      <c r="D34" s="25"/>
      <c r="F34" s="91"/>
      <c r="G34" s="91"/>
      <c r="H34" s="5"/>
      <c r="I34" s="5"/>
      <c r="J34" s="5"/>
      <c r="K34" s="5"/>
      <c r="L34" s="5"/>
      <c r="M34" s="5"/>
      <c r="N34" s="124"/>
      <c r="O34" s="124"/>
      <c r="P34" s="124"/>
      <c r="Q34" s="124"/>
      <c r="R34" s="124"/>
    </row>
    <row r="35" spans="1:18" ht="13" x14ac:dyDescent="0.25">
      <c r="A35" s="63" t="s">
        <v>94</v>
      </c>
      <c r="B35" s="126" t="s">
        <v>20</v>
      </c>
      <c r="C35" s="150">
        <v>5.4082999999999999E-2</v>
      </c>
      <c r="D35" s="25"/>
      <c r="F35" s="91"/>
      <c r="G35" s="91"/>
      <c r="H35" s="5"/>
      <c r="I35" s="5"/>
      <c r="J35" s="5"/>
      <c r="K35" s="5"/>
      <c r="L35" s="5"/>
      <c r="M35" s="5"/>
      <c r="N35" s="124"/>
      <c r="O35" s="124"/>
      <c r="P35" s="124"/>
      <c r="Q35" s="124"/>
      <c r="R35" s="124"/>
    </row>
    <row r="36" spans="1:18" ht="13" x14ac:dyDescent="0.25">
      <c r="A36" s="63" t="s">
        <v>91</v>
      </c>
      <c r="B36" s="15" t="s">
        <v>49</v>
      </c>
      <c r="C36" s="150">
        <v>4.4164000000000002E-2</v>
      </c>
      <c r="D36" s="25"/>
      <c r="F36" s="91"/>
      <c r="G36" s="91"/>
      <c r="H36" s="5"/>
      <c r="I36" s="5"/>
      <c r="J36" s="5"/>
      <c r="K36" s="5"/>
      <c r="L36" s="5"/>
      <c r="M36" s="5"/>
      <c r="N36" s="124"/>
      <c r="O36" s="124"/>
      <c r="P36" s="124"/>
      <c r="Q36" s="124"/>
      <c r="R36" s="124"/>
    </row>
    <row r="37" spans="1:18" ht="13" x14ac:dyDescent="0.25">
      <c r="A37" s="63" t="s">
        <v>92</v>
      </c>
      <c r="B37" s="126" t="s">
        <v>18</v>
      </c>
      <c r="C37" s="150">
        <v>1.7084528999999998E-2</v>
      </c>
      <c r="D37" s="25"/>
      <c r="F37" s="91"/>
      <c r="G37" s="91"/>
      <c r="H37" s="5"/>
      <c r="I37" s="5"/>
      <c r="J37" s="5"/>
      <c r="K37" s="5"/>
      <c r="L37" s="5"/>
      <c r="M37" s="5"/>
      <c r="N37" s="124"/>
      <c r="O37" s="124"/>
      <c r="P37" s="124"/>
      <c r="Q37" s="124"/>
      <c r="R37" s="124"/>
    </row>
    <row r="38" spans="1:18" ht="13" x14ac:dyDescent="0.25">
      <c r="A38" s="63" t="s">
        <v>96</v>
      </c>
      <c r="B38" s="17" t="s">
        <v>22</v>
      </c>
      <c r="C38" s="153">
        <v>2.4319000000000001E-4</v>
      </c>
      <c r="D38" s="25"/>
      <c r="F38" s="91"/>
      <c r="G38" s="91"/>
      <c r="H38" s="5"/>
      <c r="I38" s="5"/>
      <c r="J38" s="5"/>
      <c r="K38" s="5"/>
      <c r="L38" s="5"/>
      <c r="M38" s="5"/>
      <c r="N38" s="124"/>
      <c r="O38" s="124"/>
      <c r="P38" s="124"/>
      <c r="Q38" s="124"/>
      <c r="R38" s="124"/>
    </row>
    <row r="39" spans="1:18" ht="13" x14ac:dyDescent="0.25">
      <c r="A39" s="63"/>
      <c r="B39" s="177"/>
      <c r="C39" s="107"/>
      <c r="D39" s="25"/>
      <c r="F39" s="91"/>
      <c r="G39" s="91"/>
      <c r="H39" s="5"/>
      <c r="I39" s="5"/>
      <c r="J39" s="5"/>
      <c r="K39" s="5"/>
      <c r="L39" s="5"/>
      <c r="M39" s="5"/>
      <c r="N39" s="124"/>
      <c r="O39" s="124"/>
      <c r="P39" s="124"/>
      <c r="Q39" s="124"/>
      <c r="R39" s="124"/>
    </row>
    <row r="40" spans="1:18" ht="13" x14ac:dyDescent="0.25">
      <c r="A40" s="63" t="s">
        <v>108</v>
      </c>
      <c r="B40" s="78" t="s">
        <v>32</v>
      </c>
      <c r="C40" s="154">
        <f>VLOOKUP($A40,[2]figure7!$A$6:$C$44,3, FALSE)</f>
        <v>1.40073</v>
      </c>
      <c r="D40" s="25"/>
      <c r="F40" s="91"/>
      <c r="G40" s="91"/>
      <c r="H40" s="5"/>
      <c r="I40" s="5"/>
      <c r="J40" s="5"/>
      <c r="K40" s="5"/>
      <c r="L40" s="5"/>
      <c r="M40" s="5"/>
      <c r="N40" s="124"/>
      <c r="O40" s="124"/>
      <c r="P40" s="124"/>
      <c r="Q40" s="124"/>
      <c r="R40" s="124"/>
    </row>
    <row r="41" spans="1:18" ht="13" x14ac:dyDescent="0.25">
      <c r="A41" s="63" t="s">
        <v>106</v>
      </c>
      <c r="B41" s="17" t="s">
        <v>184</v>
      </c>
      <c r="C41" s="153">
        <f>VLOOKUP($A41,[2]figure7!$A$6:$C$44,3, FALSE)</f>
        <v>4.1484E-2</v>
      </c>
      <c r="D41" s="25"/>
      <c r="F41" s="91"/>
      <c r="G41" s="91"/>
      <c r="H41" s="5"/>
      <c r="I41" s="5"/>
      <c r="J41" s="5"/>
      <c r="K41" s="5"/>
      <c r="L41" s="5"/>
      <c r="M41" s="5"/>
      <c r="N41" s="124"/>
      <c r="O41" s="124"/>
      <c r="P41" s="124"/>
      <c r="Q41" s="124"/>
      <c r="R41" s="124"/>
    </row>
    <row r="42" spans="1:18" ht="13" x14ac:dyDescent="0.25">
      <c r="A42" s="63"/>
      <c r="B42" s="136"/>
      <c r="C42" s="155"/>
      <c r="D42" s="25"/>
      <c r="F42" s="91"/>
      <c r="G42" s="91"/>
      <c r="H42" s="5"/>
      <c r="I42" s="5"/>
      <c r="J42" s="5"/>
      <c r="K42" s="5"/>
      <c r="L42" s="5"/>
      <c r="M42" s="5"/>
      <c r="N42" s="124"/>
      <c r="O42" s="124"/>
      <c r="P42" s="124"/>
      <c r="Q42" s="124"/>
      <c r="R42" s="124"/>
    </row>
    <row r="43" spans="1:18" ht="12.75" customHeight="1" x14ac:dyDescent="0.25">
      <c r="A43" s="63" t="s">
        <v>112</v>
      </c>
      <c r="B43" s="78" t="s">
        <v>139</v>
      </c>
      <c r="C43" s="154">
        <f>VLOOKUP($A43,[2]figure7!$A$6:$C$44,3, FALSE)</f>
        <v>38.225847000000002</v>
      </c>
      <c r="D43" s="25"/>
      <c r="E43" s="5"/>
      <c r="F43" s="5"/>
      <c r="G43" s="91"/>
      <c r="H43" s="5"/>
      <c r="I43" s="5"/>
      <c r="J43" s="5"/>
      <c r="K43" s="5"/>
      <c r="L43" s="5"/>
      <c r="M43" s="5"/>
      <c r="N43" s="124"/>
      <c r="O43" s="124"/>
      <c r="P43" s="124"/>
      <c r="Q43" s="124"/>
      <c r="R43" s="124"/>
    </row>
    <row r="44" spans="1:18" ht="13" x14ac:dyDescent="0.25">
      <c r="A44" s="63" t="s">
        <v>111</v>
      </c>
      <c r="B44" s="177" t="s">
        <v>35</v>
      </c>
      <c r="C44" s="107">
        <f>VLOOKUP($A44,[2]figure7!$A$6:$C$44,3, FALSE)</f>
        <v>11.293866</v>
      </c>
      <c r="D44" s="144"/>
      <c r="E44" s="5"/>
      <c r="G44" s="91"/>
      <c r="H44" s="5"/>
      <c r="I44" s="5"/>
      <c r="J44" s="5"/>
      <c r="K44" s="5"/>
      <c r="L44" s="5"/>
      <c r="M44" s="5"/>
      <c r="N44" s="124"/>
      <c r="O44" s="124"/>
      <c r="P44" s="124"/>
      <c r="Q44" s="124"/>
      <c r="R44" s="124"/>
    </row>
    <row r="45" spans="1:18" ht="13" x14ac:dyDescent="0.25">
      <c r="A45" s="63" t="s">
        <v>110</v>
      </c>
      <c r="B45" s="177" t="s">
        <v>34</v>
      </c>
      <c r="C45" s="107">
        <f>VLOOKUP($A45,[2]figure7!$A$6:$C$44,3, FALSE)</f>
        <v>0.41595500000000002</v>
      </c>
      <c r="D45" s="144"/>
      <c r="E45" s="5"/>
      <c r="F45" s="5"/>
      <c r="G45" s="91"/>
      <c r="H45" s="5"/>
      <c r="I45" s="5"/>
      <c r="J45" s="5"/>
      <c r="K45" s="5"/>
      <c r="L45" s="5"/>
      <c r="M45" s="5"/>
      <c r="N45" s="124"/>
      <c r="O45" s="124"/>
      <c r="P45" s="124"/>
      <c r="Q45" s="124"/>
      <c r="R45" s="124"/>
    </row>
    <row r="46" spans="1:18" ht="13" x14ac:dyDescent="0.25">
      <c r="A46" s="63" t="s">
        <v>109</v>
      </c>
      <c r="B46" s="156" t="s">
        <v>33</v>
      </c>
      <c r="C46" s="107">
        <f>VLOOKUP($A46,[2]figure7!$A$6:$C$44,3, FALSE)</f>
        <v>0.31850499999999998</v>
      </c>
      <c r="D46" s="5"/>
      <c r="E46" s="5"/>
      <c r="G46" s="91"/>
      <c r="H46" s="5"/>
      <c r="I46" s="5"/>
      <c r="J46" s="5"/>
      <c r="K46" s="5"/>
      <c r="L46" s="5"/>
      <c r="M46" s="5"/>
      <c r="N46" s="124"/>
      <c r="O46" s="124"/>
      <c r="P46" s="124"/>
      <c r="Q46" s="124"/>
      <c r="R46" s="124"/>
    </row>
    <row r="47" spans="1:18" ht="12.75" customHeight="1" x14ac:dyDescent="0.25">
      <c r="A47" s="63"/>
      <c r="D47" s="25"/>
      <c r="E47" s="5"/>
      <c r="F47" s="5"/>
      <c r="G47" s="91"/>
      <c r="H47" s="5"/>
      <c r="I47" s="5"/>
      <c r="J47" s="5"/>
      <c r="K47" s="5"/>
      <c r="L47" s="5"/>
      <c r="M47" s="5"/>
      <c r="N47" s="124"/>
      <c r="O47" s="124"/>
      <c r="P47" s="124"/>
      <c r="Q47" s="124"/>
      <c r="R47" s="124"/>
    </row>
    <row r="48" spans="1:18" ht="13" x14ac:dyDescent="0.25">
      <c r="A48" s="63" t="s">
        <v>114</v>
      </c>
      <c r="B48" s="133" t="s">
        <v>186</v>
      </c>
      <c r="C48" s="157">
        <v>1.2869999999999999E-3</v>
      </c>
      <c r="D48" s="5"/>
      <c r="E48" s="26" t="s">
        <v>177</v>
      </c>
      <c r="G48" s="91"/>
      <c r="H48" s="5"/>
      <c r="I48" s="5"/>
      <c r="J48" s="5"/>
      <c r="K48" s="5"/>
      <c r="L48" s="5"/>
      <c r="M48" s="5"/>
      <c r="N48" s="124"/>
      <c r="O48" s="124"/>
      <c r="P48" s="124"/>
      <c r="Q48" s="124"/>
      <c r="R48" s="124"/>
    </row>
    <row r="49" spans="1:18" x14ac:dyDescent="0.25">
      <c r="A49" s="32"/>
      <c r="B49" s="5"/>
      <c r="C49" s="5"/>
      <c r="D49" s="5"/>
      <c r="E49" s="214" t="s">
        <v>137</v>
      </c>
      <c r="F49" s="214"/>
      <c r="G49" s="214"/>
      <c r="H49" s="214"/>
      <c r="I49" s="214"/>
      <c r="J49" s="214"/>
      <c r="K49" s="214"/>
      <c r="L49" s="5"/>
      <c r="M49" s="5"/>
      <c r="N49" s="124"/>
      <c r="O49" s="124"/>
      <c r="P49" s="124"/>
      <c r="Q49" s="124"/>
      <c r="R49" s="124"/>
    </row>
    <row r="50" spans="1:18" ht="12" customHeight="1" x14ac:dyDescent="0.25">
      <c r="A50" s="1"/>
      <c r="I50" s="91"/>
      <c r="J50" s="92"/>
      <c r="K50" s="5"/>
      <c r="L50" s="5"/>
      <c r="M50" s="5"/>
      <c r="O50" s="124"/>
      <c r="P50" s="124"/>
      <c r="Q50" s="124"/>
      <c r="R50" s="124"/>
    </row>
    <row r="51" spans="1:18" ht="14.5" customHeight="1" x14ac:dyDescent="0.25">
      <c r="A51" s="1"/>
      <c r="B51" s="5"/>
      <c r="C51" s="5"/>
      <c r="D51" s="5"/>
      <c r="E51" s="5"/>
      <c r="F51" s="5"/>
      <c r="G51" s="5"/>
      <c r="H51" s="5"/>
      <c r="I51" s="5"/>
      <c r="J51" s="5"/>
      <c r="K51" s="71"/>
      <c r="L51" s="5"/>
      <c r="M51" s="71"/>
      <c r="O51" s="124"/>
      <c r="P51" s="124"/>
      <c r="Q51" s="124"/>
      <c r="R51" s="124"/>
    </row>
    <row r="52" spans="1:18" ht="15" customHeight="1" x14ac:dyDescent="0.25">
      <c r="A52" s="1"/>
      <c r="D52" s="158"/>
      <c r="E52" s="158"/>
      <c r="F52" s="158"/>
      <c r="G52" s="158"/>
      <c r="H52" s="5"/>
      <c r="I52" s="5"/>
      <c r="J52" s="5"/>
      <c r="K52" s="26"/>
      <c r="L52" s="88"/>
      <c r="M52" s="26"/>
    </row>
    <row r="53" spans="1:18" ht="13" x14ac:dyDescent="0.25">
      <c r="A53" s="1"/>
      <c r="C53" s="91"/>
      <c r="D53" s="158"/>
      <c r="E53" s="158"/>
      <c r="F53" s="158"/>
      <c r="G53" s="158"/>
      <c r="H53" s="42" t="s">
        <v>45</v>
      </c>
      <c r="I53" s="42"/>
      <c r="J53" s="42"/>
    </row>
    <row r="54" spans="1:18" ht="13" x14ac:dyDescent="0.25">
      <c r="A54" s="1"/>
      <c r="C54" s="158"/>
      <c r="D54" s="158"/>
      <c r="E54" s="158"/>
      <c r="F54" s="158"/>
      <c r="G54" s="158"/>
    </row>
    <row r="55" spans="1:18" ht="13" x14ac:dyDescent="0.25">
      <c r="A55" s="41" t="s">
        <v>37</v>
      </c>
      <c r="C55" s="158"/>
      <c r="D55" s="158"/>
      <c r="E55" s="158"/>
      <c r="F55" s="158"/>
      <c r="G55" s="158"/>
    </row>
    <row r="56" spans="1:18" x14ac:dyDescent="0.25">
      <c r="A56" s="6" t="s">
        <v>66</v>
      </c>
      <c r="C56" s="158"/>
    </row>
    <row r="74" spans="2:2" x14ac:dyDescent="0.25">
      <c r="B74" s="5"/>
    </row>
  </sheetData>
  <sortState xmlns:xlrd2="http://schemas.microsoft.com/office/spreadsheetml/2017/richdata2" ref="A12:C38">
    <sortCondition descending="1" ref="C12:C38"/>
  </sortState>
  <mergeCells count="1">
    <mergeCell ref="E49:K49"/>
  </mergeCells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MK122"/>
  <sheetViews>
    <sheetView showGridLines="0" topLeftCell="A85" zoomScale="70" zoomScaleNormal="70" workbookViewId="0">
      <selection activeCell="B53" sqref="B53:M110"/>
    </sheetView>
  </sheetViews>
  <sheetFormatPr defaultColWidth="9.09765625" defaultRowHeight="12.5" x14ac:dyDescent="0.25"/>
  <cols>
    <col min="1" max="1" width="7.59765625" style="6" customWidth="1"/>
    <col min="2" max="2" width="38.59765625" style="6"/>
    <col min="3" max="3" width="20.3984375" style="6" customWidth="1"/>
    <col min="4" max="5" width="21.8984375" style="6" customWidth="1"/>
    <col min="6" max="6" width="15.8984375" style="6" customWidth="1"/>
    <col min="7" max="7" width="14.296875" style="6" customWidth="1"/>
    <col min="8" max="8" width="32" style="6" customWidth="1"/>
    <col min="9" max="10" width="12.3984375" style="6"/>
    <col min="11" max="11" width="8.8984375" style="6" customWidth="1"/>
    <col min="12" max="12" width="14.59765625" style="6" customWidth="1"/>
    <col min="13" max="13" width="32" style="6" customWidth="1"/>
    <col min="14" max="15" width="9.09765625" style="6"/>
    <col min="16" max="1025" width="12.3984375" style="6"/>
    <col min="1026" max="16384" width="9.09765625" style="5"/>
  </cols>
  <sheetData>
    <row r="1" spans="1:1025" ht="13" x14ac:dyDescent="0.25">
      <c r="A1" s="5"/>
      <c r="B1" s="5"/>
      <c r="C1" s="177" t="s">
        <v>157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spans="1:1025" ht="13" x14ac:dyDescent="0.25">
      <c r="A2" s="5"/>
      <c r="B2" s="1" t="s">
        <v>0</v>
      </c>
      <c r="C2" s="175" t="s">
        <v>68</v>
      </c>
      <c r="D2" s="109"/>
      <c r="E2" s="5"/>
      <c r="F2" s="10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</row>
    <row r="3" spans="1:1025" ht="13" x14ac:dyDescent="0.25">
      <c r="A3" s="5"/>
      <c r="B3" s="1" t="s">
        <v>1</v>
      </c>
      <c r="C3" s="1"/>
      <c r="D3" s="159"/>
      <c r="E3" s="159"/>
      <c r="F3" s="159"/>
      <c r="G3" s="159"/>
      <c r="H3" s="15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spans="1:1025" x14ac:dyDescent="0.25">
      <c r="B4" s="6" t="s">
        <v>155</v>
      </c>
      <c r="C4" s="36"/>
      <c r="D4" s="36"/>
      <c r="E4" s="36"/>
      <c r="F4" s="36"/>
      <c r="G4" s="36"/>
      <c r="H4" s="36"/>
    </row>
    <row r="5" spans="1:1025" x14ac:dyDescent="0.25">
      <c r="A5" s="5"/>
      <c r="B5" s="5" t="s">
        <v>115</v>
      </c>
      <c r="C5" s="5"/>
      <c r="D5" s="36"/>
      <c r="E5" s="36"/>
      <c r="F5" s="36"/>
      <c r="G5" s="36"/>
      <c r="H5" s="36"/>
      <c r="I5" s="5"/>
      <c r="J5" s="5"/>
      <c r="K5" s="5"/>
      <c r="L5" s="36"/>
      <c r="M5" s="36"/>
      <c r="N5" s="36"/>
      <c r="O5" s="36"/>
    </row>
    <row r="6" spans="1:1025" ht="27" customHeight="1" x14ac:dyDescent="0.25">
      <c r="A6" s="5"/>
      <c r="B6" s="10"/>
      <c r="C6" s="179" t="s">
        <v>48</v>
      </c>
      <c r="D6" s="179" t="s">
        <v>130</v>
      </c>
      <c r="E6" s="179" t="s">
        <v>187</v>
      </c>
      <c r="F6" s="179" t="s">
        <v>62</v>
      </c>
      <c r="G6" s="179" t="s">
        <v>63</v>
      </c>
      <c r="H6" s="179" t="s">
        <v>64</v>
      </c>
      <c r="I6" s="160"/>
      <c r="J6" s="32"/>
      <c r="K6" s="5"/>
      <c r="L6" s="179"/>
      <c r="M6" s="179"/>
      <c r="N6" s="179"/>
      <c r="O6" s="179"/>
    </row>
    <row r="7" spans="1:1025" x14ac:dyDescent="0.25">
      <c r="A7" s="5"/>
      <c r="C7" s="161"/>
      <c r="D7" s="161"/>
      <c r="E7" s="161"/>
      <c r="F7" s="161"/>
      <c r="G7" s="161"/>
      <c r="H7" s="161"/>
      <c r="I7" s="162"/>
      <c r="J7" s="163"/>
      <c r="K7" s="5"/>
    </row>
    <row r="8" spans="1:1025" x14ac:dyDescent="0.25">
      <c r="A8" s="116" t="s">
        <v>104</v>
      </c>
      <c r="B8" s="6" t="s">
        <v>30</v>
      </c>
      <c r="C8" s="161">
        <v>5280</v>
      </c>
      <c r="D8" s="161">
        <v>152</v>
      </c>
      <c r="E8" s="161">
        <f>VLOOKUP($A8,Sheet1!$A$8:$H$46,5,FALSE)</f>
        <v>3.2396790100000003E-2</v>
      </c>
      <c r="F8" s="161">
        <v>14</v>
      </c>
      <c r="G8" s="161">
        <v>5099</v>
      </c>
      <c r="H8" s="161">
        <v>14</v>
      </c>
      <c r="I8" s="162"/>
      <c r="J8" s="163"/>
      <c r="K8" s="5"/>
    </row>
    <row r="9" spans="1:1025" x14ac:dyDescent="0.25">
      <c r="A9" s="5" t="s">
        <v>80</v>
      </c>
      <c r="B9" s="6" t="s">
        <v>9</v>
      </c>
      <c r="C9" s="161">
        <f>VLOOKUP($A9,Sheet1!$A$8:$H$46,7,FALSE)</f>
        <v>2056.9386903302998</v>
      </c>
      <c r="D9" s="161">
        <f>VLOOKUP($A9,Sheet1!$A$8:$H$46,6,FALSE)</f>
        <v>22.602410480100001</v>
      </c>
      <c r="E9" s="161">
        <f>VLOOKUP($A9,Sheet1!$A$8:$H$46,5,FALSE)</f>
        <v>0</v>
      </c>
      <c r="F9" s="161">
        <f>VLOOKUP($A9,Sheet1!$A$8:$H$46,4,FALSE)</f>
        <v>6.5684961324</v>
      </c>
      <c r="G9" s="161">
        <f>VLOOKUP($A9,Sheet1!$A$8:$H$46,2,FALSE)</f>
        <v>2027.5912656073999</v>
      </c>
      <c r="H9" s="161">
        <f>VLOOKUP($A9,Sheet1!$A$8:$H$46,3,FALSE)</f>
        <v>0.17651811049999999</v>
      </c>
      <c r="I9" s="162"/>
      <c r="J9" s="163"/>
      <c r="K9" s="5"/>
    </row>
    <row r="10" spans="1:1025" x14ac:dyDescent="0.25">
      <c r="A10" s="116" t="s">
        <v>84</v>
      </c>
      <c r="B10" s="6" t="s">
        <v>13</v>
      </c>
      <c r="C10" s="161">
        <f>VLOOKUP($A10,Sheet1!$A$8:$H$46,7,FALSE)</f>
        <v>1082.8996241215</v>
      </c>
      <c r="D10" s="161">
        <f>VLOOKUP($A10,Sheet1!$A$8:$H$46,6,FALSE)</f>
        <v>309.49555321610001</v>
      </c>
      <c r="E10" s="161">
        <f>VLOOKUP($A10,Sheet1!$A$8:$H$46,5,FALSE)</f>
        <v>0</v>
      </c>
      <c r="F10" s="161">
        <f>VLOOKUP($A10,Sheet1!$A$8:$H$46,4,FALSE)</f>
        <v>2.8710625425999998</v>
      </c>
      <c r="G10" s="161">
        <f>VLOOKUP($A10,Sheet1!$A$8:$H$46,2,FALSE)</f>
        <v>770.5320912784</v>
      </c>
      <c r="H10" s="161">
        <f>VLOOKUP($A10,Sheet1!$A$8:$H$46,3,FALSE)</f>
        <v>9.1634289999999998E-4</v>
      </c>
      <c r="I10" s="162"/>
      <c r="J10" s="163"/>
      <c r="K10" s="5"/>
    </row>
    <row r="11" spans="1:1025" x14ac:dyDescent="0.25">
      <c r="A11" s="5" t="s">
        <v>105</v>
      </c>
      <c r="B11" s="6" t="s">
        <v>31</v>
      </c>
      <c r="C11" s="161">
        <f>VLOOKUP($A11,Sheet1!$A$8:$H$46,7,FALSE)</f>
        <v>627.16131043359997</v>
      </c>
      <c r="D11" s="161">
        <f>VLOOKUP($A11,Sheet1!$A$8:$H$46,6,FALSE)</f>
        <v>207.11609610470001</v>
      </c>
      <c r="E11" s="161">
        <f>VLOOKUP($A11,Sheet1!$A$8:$H$46,5,FALSE)</f>
        <v>20.2917132842</v>
      </c>
      <c r="F11" s="161">
        <f>VLOOKUP($A11,Sheet1!$A$8:$H$46,4,FALSE)</f>
        <v>49.860917497300001</v>
      </c>
      <c r="G11" s="161">
        <f>VLOOKUP($A11,Sheet1!$A$8:$H$46,2,FALSE)</f>
        <v>347.68678778679998</v>
      </c>
      <c r="H11" s="161">
        <f>VLOOKUP($A11,Sheet1!$A$8:$H$46,3,FALSE)</f>
        <v>2.2057957607000001</v>
      </c>
      <c r="I11" s="162"/>
      <c r="J11" s="163"/>
      <c r="K11" s="5"/>
    </row>
    <row r="12" spans="1:1025" s="166" customFormat="1" ht="25.5" customHeight="1" x14ac:dyDescent="0.25">
      <c r="A12" s="116"/>
      <c r="B12" s="6"/>
      <c r="C12" s="161"/>
      <c r="D12" s="161"/>
      <c r="E12" s="161"/>
      <c r="F12" s="161"/>
      <c r="G12" s="161"/>
      <c r="H12" s="161"/>
      <c r="I12" s="164"/>
      <c r="J12" s="165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67"/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  <c r="EG12" s="167"/>
      <c r="EH12" s="167"/>
      <c r="EI12" s="167"/>
      <c r="EJ12" s="167"/>
      <c r="EK12" s="167"/>
      <c r="EL12" s="167"/>
      <c r="EM12" s="167"/>
      <c r="EN12" s="167"/>
      <c r="EO12" s="167"/>
      <c r="EP12" s="167"/>
      <c r="EQ12" s="167"/>
      <c r="ER12" s="167"/>
      <c r="ES12" s="167"/>
      <c r="ET12" s="167"/>
      <c r="EU12" s="167"/>
      <c r="EV12" s="167"/>
      <c r="EW12" s="167"/>
      <c r="EX12" s="167"/>
      <c r="EY12" s="167"/>
      <c r="EZ12" s="167"/>
      <c r="FA12" s="167"/>
      <c r="FB12" s="167"/>
      <c r="FC12" s="167"/>
      <c r="FD12" s="167"/>
      <c r="FE12" s="167"/>
      <c r="FF12" s="167"/>
      <c r="FG12" s="167"/>
      <c r="FH12" s="167"/>
      <c r="FI12" s="167"/>
      <c r="FJ12" s="167"/>
      <c r="FK12" s="167"/>
      <c r="FL12" s="167"/>
      <c r="FM12" s="167"/>
      <c r="FN12" s="167"/>
      <c r="FO12" s="167"/>
      <c r="FP12" s="167"/>
      <c r="FQ12" s="167"/>
      <c r="FR12" s="167"/>
      <c r="FS12" s="167"/>
      <c r="FT12" s="167"/>
      <c r="FU12" s="167"/>
      <c r="FV12" s="167"/>
      <c r="FW12" s="167"/>
      <c r="FX12" s="167"/>
      <c r="FY12" s="167"/>
      <c r="FZ12" s="167"/>
      <c r="GA12" s="167"/>
      <c r="GB12" s="167"/>
      <c r="GC12" s="167"/>
      <c r="GD12" s="167"/>
      <c r="GE12" s="167"/>
      <c r="GF12" s="167"/>
      <c r="GG12" s="167"/>
      <c r="GH12" s="167"/>
      <c r="GI12" s="167"/>
      <c r="GJ12" s="167"/>
      <c r="GK12" s="167"/>
      <c r="GL12" s="167"/>
      <c r="GM12" s="167"/>
      <c r="GN12" s="167"/>
      <c r="GO12" s="167"/>
      <c r="GP12" s="167"/>
      <c r="GQ12" s="167"/>
      <c r="GR12" s="167"/>
      <c r="GS12" s="167"/>
      <c r="GT12" s="167"/>
      <c r="GU12" s="167"/>
      <c r="GV12" s="167"/>
      <c r="GW12" s="167"/>
      <c r="GX12" s="167"/>
      <c r="GY12" s="167"/>
      <c r="GZ12" s="167"/>
      <c r="HA12" s="167"/>
      <c r="HB12" s="167"/>
      <c r="HC12" s="167"/>
      <c r="HD12" s="167"/>
      <c r="HE12" s="167"/>
      <c r="HF12" s="167"/>
      <c r="HG12" s="167"/>
      <c r="HH12" s="167"/>
      <c r="HI12" s="167"/>
      <c r="HJ12" s="167"/>
      <c r="HK12" s="167"/>
      <c r="HL12" s="167"/>
      <c r="HM12" s="167"/>
      <c r="HN12" s="167"/>
      <c r="HO12" s="167"/>
      <c r="HP12" s="167"/>
      <c r="HQ12" s="167"/>
      <c r="HR12" s="167"/>
      <c r="HS12" s="167"/>
      <c r="HT12" s="167"/>
      <c r="HU12" s="167"/>
      <c r="HV12" s="167"/>
      <c r="HW12" s="167"/>
      <c r="HX12" s="167"/>
      <c r="HY12" s="167"/>
      <c r="HZ12" s="167"/>
      <c r="IA12" s="167"/>
      <c r="IB12" s="167"/>
      <c r="IC12" s="167"/>
      <c r="ID12" s="167"/>
      <c r="IE12" s="167"/>
      <c r="IF12" s="167"/>
      <c r="IG12" s="167"/>
      <c r="IH12" s="167"/>
      <c r="II12" s="167"/>
      <c r="IJ12" s="167"/>
      <c r="IK12" s="167"/>
      <c r="IL12" s="167"/>
      <c r="IM12" s="167"/>
      <c r="IN12" s="167"/>
      <c r="IO12" s="167"/>
      <c r="IP12" s="167"/>
      <c r="IQ12" s="167"/>
      <c r="IR12" s="167"/>
      <c r="IS12" s="167"/>
      <c r="IT12" s="167"/>
      <c r="IU12" s="167"/>
      <c r="IV12" s="167"/>
      <c r="IW12" s="167"/>
      <c r="IX12" s="167"/>
      <c r="IY12" s="167"/>
      <c r="IZ12" s="167"/>
      <c r="JA12" s="167"/>
      <c r="JB12" s="167"/>
      <c r="JC12" s="167"/>
      <c r="JD12" s="167"/>
      <c r="JE12" s="167"/>
      <c r="JF12" s="167"/>
      <c r="JG12" s="167"/>
      <c r="JH12" s="167"/>
      <c r="JI12" s="167"/>
      <c r="JJ12" s="167"/>
      <c r="JK12" s="167"/>
      <c r="JL12" s="167"/>
      <c r="JM12" s="167"/>
      <c r="JN12" s="167"/>
      <c r="JO12" s="167"/>
      <c r="JP12" s="167"/>
      <c r="JQ12" s="167"/>
      <c r="JR12" s="167"/>
      <c r="JS12" s="167"/>
      <c r="JT12" s="167"/>
      <c r="JU12" s="167"/>
      <c r="JV12" s="167"/>
      <c r="JW12" s="167"/>
      <c r="JX12" s="167"/>
      <c r="JY12" s="167"/>
      <c r="JZ12" s="167"/>
      <c r="KA12" s="167"/>
      <c r="KB12" s="167"/>
      <c r="KC12" s="167"/>
      <c r="KD12" s="167"/>
      <c r="KE12" s="167"/>
      <c r="KF12" s="167"/>
      <c r="KG12" s="167"/>
      <c r="KH12" s="167"/>
      <c r="KI12" s="167"/>
      <c r="KJ12" s="167"/>
      <c r="KK12" s="167"/>
      <c r="KL12" s="167"/>
      <c r="KM12" s="167"/>
      <c r="KN12" s="167"/>
      <c r="KO12" s="167"/>
      <c r="KP12" s="167"/>
      <c r="KQ12" s="167"/>
      <c r="KR12" s="167"/>
      <c r="KS12" s="167"/>
      <c r="KT12" s="167"/>
      <c r="KU12" s="167"/>
      <c r="KV12" s="167"/>
      <c r="KW12" s="167"/>
      <c r="KX12" s="167"/>
      <c r="KY12" s="167"/>
      <c r="KZ12" s="167"/>
      <c r="LA12" s="167"/>
      <c r="LB12" s="167"/>
      <c r="LC12" s="167"/>
      <c r="LD12" s="167"/>
      <c r="LE12" s="167"/>
      <c r="LF12" s="167"/>
      <c r="LG12" s="167"/>
      <c r="LH12" s="167"/>
      <c r="LI12" s="167"/>
      <c r="LJ12" s="167"/>
      <c r="LK12" s="167"/>
      <c r="LL12" s="167"/>
      <c r="LM12" s="167"/>
      <c r="LN12" s="167"/>
      <c r="LO12" s="167"/>
      <c r="LP12" s="167"/>
      <c r="LQ12" s="167"/>
      <c r="LR12" s="167"/>
      <c r="LS12" s="167"/>
      <c r="LT12" s="167"/>
      <c r="LU12" s="167"/>
      <c r="LV12" s="167"/>
      <c r="LW12" s="167"/>
      <c r="LX12" s="167"/>
      <c r="LY12" s="167"/>
      <c r="LZ12" s="167"/>
      <c r="MA12" s="167"/>
      <c r="MB12" s="167"/>
      <c r="MC12" s="167"/>
      <c r="MD12" s="167"/>
      <c r="ME12" s="167"/>
      <c r="MF12" s="167"/>
      <c r="MG12" s="167"/>
      <c r="MH12" s="167"/>
      <c r="MI12" s="167"/>
      <c r="MJ12" s="167"/>
      <c r="MK12" s="167"/>
      <c r="ML12" s="167"/>
      <c r="MM12" s="167"/>
      <c r="MN12" s="167"/>
      <c r="MO12" s="167"/>
      <c r="MP12" s="167"/>
      <c r="MQ12" s="167"/>
      <c r="MR12" s="167"/>
      <c r="MS12" s="167"/>
      <c r="MT12" s="167"/>
      <c r="MU12" s="167"/>
      <c r="MV12" s="167"/>
      <c r="MW12" s="167"/>
      <c r="MX12" s="167"/>
      <c r="MY12" s="167"/>
      <c r="MZ12" s="167"/>
      <c r="NA12" s="167"/>
      <c r="NB12" s="167"/>
      <c r="NC12" s="167"/>
      <c r="ND12" s="167"/>
      <c r="NE12" s="167"/>
      <c r="NF12" s="167"/>
      <c r="NG12" s="167"/>
      <c r="NH12" s="167"/>
      <c r="NI12" s="167"/>
      <c r="NJ12" s="167"/>
      <c r="NK12" s="167"/>
      <c r="NL12" s="167"/>
      <c r="NM12" s="167"/>
      <c r="NN12" s="167"/>
      <c r="NO12" s="167"/>
      <c r="NP12" s="167"/>
      <c r="NQ12" s="167"/>
      <c r="NR12" s="167"/>
      <c r="NS12" s="167"/>
      <c r="NT12" s="167"/>
      <c r="NU12" s="167"/>
      <c r="NV12" s="167"/>
      <c r="NW12" s="167"/>
      <c r="NX12" s="167"/>
      <c r="NY12" s="167"/>
      <c r="NZ12" s="167"/>
      <c r="OA12" s="167"/>
      <c r="OB12" s="167"/>
      <c r="OC12" s="167"/>
      <c r="OD12" s="167"/>
      <c r="OE12" s="167"/>
      <c r="OF12" s="167"/>
      <c r="OG12" s="167"/>
      <c r="OH12" s="167"/>
      <c r="OI12" s="167"/>
      <c r="OJ12" s="167"/>
      <c r="OK12" s="167"/>
      <c r="OL12" s="167"/>
      <c r="OM12" s="167"/>
      <c r="ON12" s="167"/>
      <c r="OO12" s="167"/>
      <c r="OP12" s="167"/>
      <c r="OQ12" s="167"/>
      <c r="OR12" s="167"/>
      <c r="OS12" s="167"/>
      <c r="OT12" s="167"/>
      <c r="OU12" s="167"/>
      <c r="OV12" s="167"/>
      <c r="OW12" s="167"/>
      <c r="OX12" s="167"/>
      <c r="OY12" s="167"/>
      <c r="OZ12" s="167"/>
      <c r="PA12" s="167"/>
      <c r="PB12" s="167"/>
      <c r="PC12" s="167"/>
      <c r="PD12" s="167"/>
      <c r="PE12" s="167"/>
      <c r="PF12" s="167"/>
      <c r="PG12" s="167"/>
      <c r="PH12" s="167"/>
      <c r="PI12" s="167"/>
      <c r="PJ12" s="167"/>
      <c r="PK12" s="167"/>
      <c r="PL12" s="167"/>
      <c r="PM12" s="167"/>
      <c r="PN12" s="167"/>
      <c r="PO12" s="167"/>
      <c r="PP12" s="167"/>
      <c r="PQ12" s="167"/>
      <c r="PR12" s="167"/>
      <c r="PS12" s="167"/>
      <c r="PT12" s="167"/>
      <c r="PU12" s="167"/>
      <c r="PV12" s="167"/>
      <c r="PW12" s="167"/>
      <c r="PX12" s="167"/>
      <c r="PY12" s="167"/>
      <c r="PZ12" s="167"/>
      <c r="QA12" s="167"/>
      <c r="QB12" s="167"/>
      <c r="QC12" s="167"/>
      <c r="QD12" s="167"/>
      <c r="QE12" s="167"/>
      <c r="QF12" s="167"/>
      <c r="QG12" s="167"/>
      <c r="QH12" s="167"/>
      <c r="QI12" s="167"/>
      <c r="QJ12" s="167"/>
      <c r="QK12" s="167"/>
      <c r="QL12" s="167"/>
      <c r="QM12" s="167"/>
      <c r="QN12" s="167"/>
      <c r="QO12" s="167"/>
      <c r="QP12" s="167"/>
      <c r="QQ12" s="167"/>
      <c r="QR12" s="167"/>
      <c r="QS12" s="167"/>
      <c r="QT12" s="167"/>
      <c r="QU12" s="167"/>
      <c r="QV12" s="167"/>
      <c r="QW12" s="167"/>
      <c r="QX12" s="167"/>
      <c r="QY12" s="167"/>
      <c r="QZ12" s="167"/>
      <c r="RA12" s="167"/>
      <c r="RB12" s="167"/>
      <c r="RC12" s="167"/>
      <c r="RD12" s="167"/>
      <c r="RE12" s="167"/>
      <c r="RF12" s="167"/>
      <c r="RG12" s="167"/>
      <c r="RH12" s="167"/>
      <c r="RI12" s="167"/>
      <c r="RJ12" s="167"/>
      <c r="RK12" s="167"/>
      <c r="RL12" s="167"/>
      <c r="RM12" s="167"/>
      <c r="RN12" s="167"/>
      <c r="RO12" s="167"/>
      <c r="RP12" s="167"/>
      <c r="RQ12" s="167"/>
      <c r="RR12" s="167"/>
      <c r="RS12" s="167"/>
      <c r="RT12" s="167"/>
      <c r="RU12" s="167"/>
      <c r="RV12" s="167"/>
      <c r="RW12" s="167"/>
      <c r="RX12" s="167"/>
      <c r="RY12" s="167"/>
      <c r="RZ12" s="167"/>
      <c r="SA12" s="167"/>
      <c r="SB12" s="167"/>
      <c r="SC12" s="167"/>
      <c r="SD12" s="167"/>
      <c r="SE12" s="167"/>
      <c r="SF12" s="167"/>
      <c r="SG12" s="167"/>
      <c r="SH12" s="167"/>
      <c r="SI12" s="167"/>
      <c r="SJ12" s="167"/>
      <c r="SK12" s="167"/>
      <c r="SL12" s="167"/>
      <c r="SM12" s="167"/>
      <c r="SN12" s="167"/>
      <c r="SO12" s="167"/>
      <c r="SP12" s="167"/>
      <c r="SQ12" s="167"/>
      <c r="SR12" s="167"/>
      <c r="SS12" s="167"/>
      <c r="ST12" s="167"/>
      <c r="SU12" s="167"/>
      <c r="SV12" s="167"/>
      <c r="SW12" s="167"/>
      <c r="SX12" s="167"/>
      <c r="SY12" s="167"/>
      <c r="SZ12" s="167"/>
      <c r="TA12" s="167"/>
      <c r="TB12" s="167"/>
      <c r="TC12" s="167"/>
      <c r="TD12" s="167"/>
      <c r="TE12" s="167"/>
      <c r="TF12" s="167"/>
      <c r="TG12" s="167"/>
      <c r="TH12" s="167"/>
      <c r="TI12" s="167"/>
      <c r="TJ12" s="167"/>
      <c r="TK12" s="167"/>
      <c r="TL12" s="167"/>
      <c r="TM12" s="167"/>
      <c r="TN12" s="167"/>
      <c r="TO12" s="167"/>
      <c r="TP12" s="167"/>
      <c r="TQ12" s="167"/>
      <c r="TR12" s="167"/>
      <c r="TS12" s="167"/>
      <c r="TT12" s="167"/>
      <c r="TU12" s="167"/>
      <c r="TV12" s="167"/>
      <c r="TW12" s="167"/>
      <c r="TX12" s="167"/>
      <c r="TY12" s="167"/>
      <c r="TZ12" s="167"/>
      <c r="UA12" s="167"/>
      <c r="UB12" s="167"/>
      <c r="UC12" s="167"/>
      <c r="UD12" s="167"/>
      <c r="UE12" s="167"/>
      <c r="UF12" s="167"/>
      <c r="UG12" s="167"/>
      <c r="UH12" s="167"/>
      <c r="UI12" s="167"/>
      <c r="UJ12" s="167"/>
      <c r="UK12" s="167"/>
      <c r="UL12" s="167"/>
      <c r="UM12" s="167"/>
      <c r="UN12" s="167"/>
      <c r="UO12" s="167"/>
      <c r="UP12" s="167"/>
      <c r="UQ12" s="167"/>
      <c r="UR12" s="167"/>
      <c r="US12" s="167"/>
      <c r="UT12" s="167"/>
      <c r="UU12" s="167"/>
      <c r="UV12" s="167"/>
      <c r="UW12" s="167"/>
      <c r="UX12" s="167"/>
      <c r="UY12" s="167"/>
      <c r="UZ12" s="167"/>
      <c r="VA12" s="167"/>
      <c r="VB12" s="167"/>
      <c r="VC12" s="167"/>
      <c r="VD12" s="167"/>
      <c r="VE12" s="167"/>
      <c r="VF12" s="167"/>
      <c r="VG12" s="167"/>
      <c r="VH12" s="167"/>
      <c r="VI12" s="167"/>
      <c r="VJ12" s="167"/>
      <c r="VK12" s="167"/>
      <c r="VL12" s="167"/>
      <c r="VM12" s="167"/>
      <c r="VN12" s="167"/>
      <c r="VO12" s="167"/>
      <c r="VP12" s="167"/>
      <c r="VQ12" s="167"/>
      <c r="VR12" s="167"/>
      <c r="VS12" s="167"/>
      <c r="VT12" s="167"/>
      <c r="VU12" s="167"/>
      <c r="VV12" s="167"/>
      <c r="VW12" s="167"/>
      <c r="VX12" s="167"/>
      <c r="VY12" s="167"/>
      <c r="VZ12" s="167"/>
      <c r="WA12" s="167"/>
      <c r="WB12" s="167"/>
      <c r="WC12" s="167"/>
      <c r="WD12" s="167"/>
      <c r="WE12" s="167"/>
      <c r="WF12" s="167"/>
      <c r="WG12" s="167"/>
      <c r="WH12" s="167"/>
      <c r="WI12" s="167"/>
      <c r="WJ12" s="167"/>
      <c r="WK12" s="167"/>
      <c r="WL12" s="167"/>
      <c r="WM12" s="167"/>
      <c r="WN12" s="167"/>
      <c r="WO12" s="167"/>
      <c r="WP12" s="167"/>
      <c r="WQ12" s="167"/>
      <c r="WR12" s="167"/>
      <c r="WS12" s="167"/>
      <c r="WT12" s="167"/>
      <c r="WU12" s="167"/>
      <c r="WV12" s="167"/>
      <c r="WW12" s="167"/>
      <c r="WX12" s="167"/>
      <c r="WY12" s="167"/>
      <c r="WZ12" s="167"/>
      <c r="XA12" s="167"/>
      <c r="XB12" s="167"/>
      <c r="XC12" s="167"/>
      <c r="XD12" s="167"/>
      <c r="XE12" s="167"/>
      <c r="XF12" s="167"/>
      <c r="XG12" s="167"/>
      <c r="XH12" s="167"/>
      <c r="XI12" s="167"/>
      <c r="XJ12" s="167"/>
      <c r="XK12" s="167"/>
      <c r="XL12" s="167"/>
      <c r="XM12" s="167"/>
      <c r="XN12" s="167"/>
      <c r="XO12" s="167"/>
      <c r="XP12" s="167"/>
      <c r="XQ12" s="167"/>
      <c r="XR12" s="167"/>
      <c r="XS12" s="167"/>
      <c r="XT12" s="167"/>
      <c r="XU12" s="167"/>
      <c r="XV12" s="167"/>
      <c r="XW12" s="167"/>
      <c r="XX12" s="167"/>
      <c r="XY12" s="167"/>
      <c r="XZ12" s="167"/>
      <c r="YA12" s="167"/>
      <c r="YB12" s="167"/>
      <c r="YC12" s="167"/>
      <c r="YD12" s="167"/>
      <c r="YE12" s="167"/>
      <c r="YF12" s="167"/>
      <c r="YG12" s="167"/>
      <c r="YH12" s="167"/>
      <c r="YI12" s="167"/>
      <c r="YJ12" s="167"/>
      <c r="YK12" s="167"/>
      <c r="YL12" s="167"/>
      <c r="YM12" s="167"/>
      <c r="YN12" s="167"/>
      <c r="YO12" s="167"/>
      <c r="YP12" s="167"/>
      <c r="YQ12" s="167"/>
      <c r="YR12" s="167"/>
      <c r="YS12" s="167"/>
      <c r="YT12" s="167"/>
      <c r="YU12" s="167"/>
      <c r="YV12" s="167"/>
      <c r="YW12" s="167"/>
      <c r="YX12" s="167"/>
      <c r="YY12" s="167"/>
      <c r="YZ12" s="167"/>
      <c r="ZA12" s="167"/>
      <c r="ZB12" s="167"/>
      <c r="ZC12" s="167"/>
      <c r="ZD12" s="167"/>
      <c r="ZE12" s="167"/>
      <c r="ZF12" s="167"/>
      <c r="ZG12" s="167"/>
      <c r="ZH12" s="167"/>
      <c r="ZI12" s="167"/>
      <c r="ZJ12" s="167"/>
      <c r="ZK12" s="167"/>
      <c r="ZL12" s="167"/>
      <c r="ZM12" s="167"/>
      <c r="ZN12" s="167"/>
      <c r="ZO12" s="167"/>
      <c r="ZP12" s="167"/>
      <c r="ZQ12" s="167"/>
      <c r="ZR12" s="167"/>
      <c r="ZS12" s="167"/>
      <c r="ZT12" s="167"/>
      <c r="ZU12" s="167"/>
      <c r="ZV12" s="167"/>
      <c r="ZW12" s="167"/>
      <c r="ZX12" s="167"/>
      <c r="ZY12" s="167"/>
      <c r="ZZ12" s="167"/>
      <c r="AAA12" s="167"/>
      <c r="AAB12" s="167"/>
      <c r="AAC12" s="167"/>
      <c r="AAD12" s="167"/>
      <c r="AAE12" s="167"/>
      <c r="AAF12" s="167"/>
      <c r="AAG12" s="167"/>
      <c r="AAH12" s="167"/>
      <c r="AAI12" s="167"/>
      <c r="AAJ12" s="167"/>
      <c r="AAK12" s="167"/>
      <c r="AAL12" s="167"/>
      <c r="AAM12" s="167"/>
      <c r="AAN12" s="167"/>
      <c r="AAO12" s="167"/>
      <c r="AAP12" s="167"/>
      <c r="AAQ12" s="167"/>
      <c r="AAR12" s="167"/>
      <c r="AAS12" s="167"/>
      <c r="AAT12" s="167"/>
      <c r="AAU12" s="167"/>
      <c r="AAV12" s="167"/>
      <c r="AAW12" s="167"/>
      <c r="AAX12" s="167"/>
      <c r="AAY12" s="167"/>
      <c r="AAZ12" s="167"/>
      <c r="ABA12" s="167"/>
      <c r="ABB12" s="167"/>
      <c r="ABC12" s="167"/>
      <c r="ABD12" s="167"/>
      <c r="ABE12" s="167"/>
      <c r="ABF12" s="167"/>
      <c r="ABG12" s="167"/>
      <c r="ABH12" s="167"/>
      <c r="ABI12" s="167"/>
      <c r="ABJ12" s="167"/>
      <c r="ABK12" s="167"/>
      <c r="ABL12" s="167"/>
      <c r="ABM12" s="167"/>
      <c r="ABN12" s="167"/>
      <c r="ABO12" s="167"/>
      <c r="ABP12" s="167"/>
      <c r="ABQ12" s="167"/>
      <c r="ABR12" s="167"/>
      <c r="ABS12" s="167"/>
      <c r="ABT12" s="167"/>
      <c r="ABU12" s="167"/>
      <c r="ABV12" s="167"/>
      <c r="ABW12" s="167"/>
      <c r="ABX12" s="167"/>
      <c r="ABY12" s="167"/>
      <c r="ABZ12" s="167"/>
      <c r="ACA12" s="167"/>
      <c r="ACB12" s="167"/>
      <c r="ACC12" s="167"/>
      <c r="ACD12" s="167"/>
      <c r="ACE12" s="167"/>
      <c r="ACF12" s="167"/>
      <c r="ACG12" s="167"/>
      <c r="ACH12" s="167"/>
      <c r="ACI12" s="167"/>
      <c r="ACJ12" s="167"/>
      <c r="ACK12" s="167"/>
      <c r="ACL12" s="167"/>
      <c r="ACM12" s="167"/>
      <c r="ACN12" s="167"/>
      <c r="ACO12" s="167"/>
      <c r="ACP12" s="167"/>
      <c r="ACQ12" s="167"/>
      <c r="ACR12" s="167"/>
      <c r="ACS12" s="167"/>
      <c r="ACT12" s="167"/>
      <c r="ACU12" s="167"/>
      <c r="ACV12" s="167"/>
      <c r="ACW12" s="167"/>
      <c r="ACX12" s="167"/>
      <c r="ACY12" s="167"/>
      <c r="ACZ12" s="167"/>
      <c r="ADA12" s="167"/>
      <c r="ADB12" s="167"/>
      <c r="ADC12" s="167"/>
      <c r="ADD12" s="167"/>
      <c r="ADE12" s="167"/>
      <c r="ADF12" s="167"/>
      <c r="ADG12" s="167"/>
      <c r="ADH12" s="167"/>
      <c r="ADI12" s="167"/>
      <c r="ADJ12" s="167"/>
      <c r="ADK12" s="167"/>
      <c r="ADL12" s="167"/>
      <c r="ADM12" s="167"/>
      <c r="ADN12" s="167"/>
      <c r="ADO12" s="167"/>
      <c r="ADP12" s="167"/>
      <c r="ADQ12" s="167"/>
      <c r="ADR12" s="167"/>
      <c r="ADS12" s="167"/>
      <c r="ADT12" s="167"/>
      <c r="ADU12" s="167"/>
      <c r="ADV12" s="167"/>
      <c r="ADW12" s="167"/>
      <c r="ADX12" s="167"/>
      <c r="ADY12" s="167"/>
      <c r="ADZ12" s="167"/>
      <c r="AEA12" s="167"/>
      <c r="AEB12" s="167"/>
      <c r="AEC12" s="167"/>
      <c r="AED12" s="167"/>
      <c r="AEE12" s="167"/>
      <c r="AEF12" s="167"/>
      <c r="AEG12" s="167"/>
      <c r="AEH12" s="167"/>
      <c r="AEI12" s="167"/>
      <c r="AEJ12" s="167"/>
      <c r="AEK12" s="167"/>
      <c r="AEL12" s="167"/>
      <c r="AEM12" s="167"/>
      <c r="AEN12" s="167"/>
      <c r="AEO12" s="167"/>
      <c r="AEP12" s="167"/>
      <c r="AEQ12" s="167"/>
      <c r="AER12" s="167"/>
      <c r="AES12" s="167"/>
      <c r="AET12" s="167"/>
      <c r="AEU12" s="167"/>
      <c r="AEV12" s="167"/>
      <c r="AEW12" s="167"/>
      <c r="AEX12" s="167"/>
      <c r="AEY12" s="167"/>
      <c r="AEZ12" s="167"/>
      <c r="AFA12" s="167"/>
      <c r="AFB12" s="167"/>
      <c r="AFC12" s="167"/>
      <c r="AFD12" s="167"/>
      <c r="AFE12" s="167"/>
      <c r="AFF12" s="167"/>
      <c r="AFG12" s="167"/>
      <c r="AFH12" s="167"/>
      <c r="AFI12" s="167"/>
      <c r="AFJ12" s="167"/>
      <c r="AFK12" s="167"/>
      <c r="AFL12" s="167"/>
      <c r="AFM12" s="167"/>
      <c r="AFN12" s="167"/>
      <c r="AFO12" s="167"/>
      <c r="AFP12" s="167"/>
      <c r="AFQ12" s="167"/>
      <c r="AFR12" s="167"/>
      <c r="AFS12" s="167"/>
      <c r="AFT12" s="167"/>
      <c r="AFU12" s="167"/>
      <c r="AFV12" s="167"/>
      <c r="AFW12" s="167"/>
      <c r="AFX12" s="167"/>
      <c r="AFY12" s="167"/>
      <c r="AFZ12" s="167"/>
      <c r="AGA12" s="167"/>
      <c r="AGB12" s="167"/>
      <c r="AGC12" s="167"/>
      <c r="AGD12" s="167"/>
      <c r="AGE12" s="167"/>
      <c r="AGF12" s="167"/>
      <c r="AGG12" s="167"/>
      <c r="AGH12" s="167"/>
      <c r="AGI12" s="167"/>
      <c r="AGJ12" s="167"/>
      <c r="AGK12" s="167"/>
      <c r="AGL12" s="167"/>
      <c r="AGM12" s="167"/>
      <c r="AGN12" s="167"/>
      <c r="AGO12" s="167"/>
      <c r="AGP12" s="167"/>
      <c r="AGQ12" s="167"/>
      <c r="AGR12" s="167"/>
      <c r="AGS12" s="167"/>
      <c r="AGT12" s="167"/>
      <c r="AGU12" s="167"/>
      <c r="AGV12" s="167"/>
      <c r="AGW12" s="167"/>
      <c r="AGX12" s="167"/>
      <c r="AGY12" s="167"/>
      <c r="AGZ12" s="167"/>
      <c r="AHA12" s="167"/>
      <c r="AHB12" s="167"/>
      <c r="AHC12" s="167"/>
      <c r="AHD12" s="167"/>
      <c r="AHE12" s="167"/>
      <c r="AHF12" s="167"/>
      <c r="AHG12" s="167"/>
      <c r="AHH12" s="167"/>
      <c r="AHI12" s="167"/>
      <c r="AHJ12" s="167"/>
      <c r="AHK12" s="167"/>
      <c r="AHL12" s="167"/>
      <c r="AHM12" s="167"/>
      <c r="AHN12" s="167"/>
      <c r="AHO12" s="167"/>
      <c r="AHP12" s="167"/>
      <c r="AHQ12" s="167"/>
      <c r="AHR12" s="167"/>
      <c r="AHS12" s="167"/>
      <c r="AHT12" s="167"/>
      <c r="AHU12" s="167"/>
      <c r="AHV12" s="167"/>
      <c r="AHW12" s="167"/>
      <c r="AHX12" s="167"/>
      <c r="AHY12" s="167"/>
      <c r="AHZ12" s="167"/>
      <c r="AIA12" s="167"/>
      <c r="AIB12" s="167"/>
      <c r="AIC12" s="167"/>
      <c r="AID12" s="167"/>
      <c r="AIE12" s="167"/>
      <c r="AIF12" s="167"/>
      <c r="AIG12" s="167"/>
      <c r="AIH12" s="167"/>
      <c r="AII12" s="167"/>
      <c r="AIJ12" s="167"/>
      <c r="AIK12" s="167"/>
      <c r="AIL12" s="167"/>
      <c r="AIM12" s="167"/>
      <c r="AIN12" s="167"/>
      <c r="AIO12" s="167"/>
      <c r="AIP12" s="167"/>
      <c r="AIQ12" s="167"/>
      <c r="AIR12" s="167"/>
      <c r="AIS12" s="167"/>
      <c r="AIT12" s="167"/>
      <c r="AIU12" s="167"/>
      <c r="AIV12" s="167"/>
      <c r="AIW12" s="167"/>
      <c r="AIX12" s="167"/>
      <c r="AIY12" s="167"/>
      <c r="AIZ12" s="167"/>
      <c r="AJA12" s="167"/>
      <c r="AJB12" s="167"/>
      <c r="AJC12" s="167"/>
      <c r="AJD12" s="167"/>
      <c r="AJE12" s="167"/>
      <c r="AJF12" s="167"/>
      <c r="AJG12" s="167"/>
      <c r="AJH12" s="167"/>
      <c r="AJI12" s="167"/>
      <c r="AJJ12" s="167"/>
      <c r="AJK12" s="167"/>
      <c r="AJL12" s="167"/>
      <c r="AJM12" s="167"/>
      <c r="AJN12" s="167"/>
      <c r="AJO12" s="167"/>
      <c r="AJP12" s="167"/>
      <c r="AJQ12" s="167"/>
      <c r="AJR12" s="167"/>
      <c r="AJS12" s="167"/>
      <c r="AJT12" s="167"/>
      <c r="AJU12" s="167"/>
      <c r="AJV12" s="167"/>
      <c r="AJW12" s="167"/>
      <c r="AJX12" s="167"/>
      <c r="AJY12" s="167"/>
      <c r="AJZ12" s="167"/>
      <c r="AKA12" s="167"/>
      <c r="AKB12" s="167"/>
      <c r="AKC12" s="167"/>
      <c r="AKD12" s="167"/>
      <c r="AKE12" s="167"/>
      <c r="AKF12" s="167"/>
      <c r="AKG12" s="167"/>
      <c r="AKH12" s="167"/>
      <c r="AKI12" s="167"/>
      <c r="AKJ12" s="167"/>
      <c r="AKK12" s="167"/>
      <c r="AKL12" s="167"/>
      <c r="AKM12" s="167"/>
      <c r="AKN12" s="167"/>
      <c r="AKO12" s="167"/>
      <c r="AKP12" s="167"/>
      <c r="AKQ12" s="167"/>
      <c r="AKR12" s="167"/>
      <c r="AKS12" s="167"/>
      <c r="AKT12" s="167"/>
      <c r="AKU12" s="167"/>
      <c r="AKV12" s="167"/>
      <c r="AKW12" s="167"/>
      <c r="AKX12" s="167"/>
      <c r="AKY12" s="167"/>
      <c r="AKZ12" s="167"/>
      <c r="ALA12" s="167"/>
      <c r="ALB12" s="167"/>
      <c r="ALC12" s="167"/>
      <c r="ALD12" s="167"/>
      <c r="ALE12" s="167"/>
      <c r="ALF12" s="167"/>
      <c r="ALG12" s="167"/>
      <c r="ALH12" s="167"/>
      <c r="ALI12" s="167"/>
      <c r="ALJ12" s="167"/>
      <c r="ALK12" s="167"/>
      <c r="ALL12" s="167"/>
      <c r="ALM12" s="167"/>
      <c r="ALN12" s="167"/>
      <c r="ALO12" s="167"/>
      <c r="ALP12" s="167"/>
      <c r="ALQ12" s="167"/>
      <c r="ALR12" s="167"/>
      <c r="ALS12" s="167"/>
      <c r="ALT12" s="167"/>
      <c r="ALU12" s="167"/>
      <c r="ALV12" s="167"/>
      <c r="ALW12" s="167"/>
      <c r="ALX12" s="167"/>
      <c r="ALY12" s="167"/>
      <c r="ALZ12" s="167"/>
      <c r="AMA12" s="167"/>
      <c r="AMB12" s="167"/>
      <c r="AMC12" s="167"/>
      <c r="AMD12" s="167"/>
      <c r="AME12" s="167"/>
      <c r="AMF12" s="167"/>
      <c r="AMG12" s="167"/>
      <c r="AMH12" s="167"/>
      <c r="AMI12" s="167"/>
      <c r="AMJ12" s="167"/>
      <c r="AMK12" s="167"/>
    </row>
    <row r="13" spans="1:1025" x14ac:dyDescent="0.25">
      <c r="A13" s="5" t="s">
        <v>108</v>
      </c>
      <c r="B13" s="6" t="s">
        <v>32</v>
      </c>
      <c r="C13" s="161">
        <f>VLOOKUP($A13,Sheet1!$A$8:$H$46,7,FALSE)</f>
        <v>265.2173936945</v>
      </c>
      <c r="D13" s="161">
        <f>VLOOKUP($A13,Sheet1!$A$8:$H$46,6,FALSE)</f>
        <v>53.553454042799999</v>
      </c>
      <c r="E13" s="161">
        <f>VLOOKUP($A13,Sheet1!$A$8:$H$46,5,FALSE)</f>
        <v>0</v>
      </c>
      <c r="F13" s="161">
        <f>VLOOKUP($A13,Sheet1!$A$8:$H$46,4,FALSE)</f>
        <v>46.009557776500003</v>
      </c>
      <c r="G13" s="161">
        <f>VLOOKUP($A13,Sheet1!$A$8:$H$46,2,FALSE)</f>
        <v>160.6678752391</v>
      </c>
      <c r="H13" s="161">
        <f>VLOOKUP($A13,Sheet1!$A$8:$H$46,3,FALSE)</f>
        <v>4.9865066361999997</v>
      </c>
      <c r="I13" s="162"/>
      <c r="J13" s="163"/>
      <c r="K13" s="5"/>
    </row>
    <row r="14" spans="1:1025" x14ac:dyDescent="0.25">
      <c r="A14" s="5"/>
      <c r="C14" s="161"/>
      <c r="D14" s="161"/>
      <c r="E14" s="161"/>
      <c r="F14" s="161"/>
      <c r="G14" s="161"/>
      <c r="H14" s="161"/>
      <c r="I14" s="162"/>
      <c r="J14" s="163"/>
      <c r="K14" s="5"/>
    </row>
    <row r="15" spans="1:1025" x14ac:dyDescent="0.25">
      <c r="A15" s="116" t="s">
        <v>111</v>
      </c>
      <c r="B15" s="6" t="s">
        <v>35</v>
      </c>
      <c r="C15" s="161">
        <f>VLOOKUP($A15,Sheet1!$A$8:$H$46,7,FALSE)</f>
        <v>4429.0805174642001</v>
      </c>
      <c r="D15" s="161">
        <f>VLOOKUP($A15,Sheet1!$A$8:$H$46,6,FALSE)</f>
        <v>5.1548557251</v>
      </c>
      <c r="E15" s="161">
        <f>VLOOKUP($A15,Sheet1!$A$8:$H$46,5,FALSE)</f>
        <v>0</v>
      </c>
      <c r="F15" s="161">
        <f>VLOOKUP($A15,Sheet1!$A$8:$H$46,4,FALSE)</f>
        <v>0.96715165349999999</v>
      </c>
      <c r="G15" s="161">
        <f>VLOOKUP($A15,Sheet1!$A$8:$H$46,2,FALSE)</f>
        <v>4422.9585100856002</v>
      </c>
      <c r="H15" s="161">
        <f>VLOOKUP($A15,Sheet1!$A$8:$H$46,3,FALSE)</f>
        <v>0</v>
      </c>
      <c r="I15" s="162"/>
      <c r="J15" s="32"/>
      <c r="K15" s="5"/>
    </row>
    <row r="16" spans="1:1025" x14ac:dyDescent="0.25">
      <c r="A16" s="158" t="s">
        <v>109</v>
      </c>
      <c r="B16" s="5" t="s">
        <v>33</v>
      </c>
      <c r="C16" s="161">
        <f>VLOOKUP($A16,Sheet1!$A$8:$H$46,7,FALSE)</f>
        <v>468.89202497129997</v>
      </c>
      <c r="D16" s="161">
        <f>VLOOKUP($A16,Sheet1!$A$8:$H$46,6,FALSE)</f>
        <v>37.620566795599998</v>
      </c>
      <c r="E16" s="161">
        <f>VLOOKUP($A16,Sheet1!$A$8:$H$46,5,FALSE)</f>
        <v>0</v>
      </c>
      <c r="F16" s="161">
        <f>VLOOKUP($A16,Sheet1!$A$8:$H$46,4,FALSE)</f>
        <v>0</v>
      </c>
      <c r="G16" s="161">
        <f>VLOOKUP($A16,Sheet1!$A$8:$H$46,2,FALSE)</f>
        <v>431.27145817569999</v>
      </c>
      <c r="H16" s="161">
        <f>VLOOKUP($A16,Sheet1!$A$8:$H$46,3,FALSE)</f>
        <v>0</v>
      </c>
      <c r="I16" s="162"/>
      <c r="J16" s="32"/>
      <c r="K16" s="5"/>
      <c r="L16" s="5"/>
      <c r="M16" s="5"/>
      <c r="N16" s="5"/>
      <c r="O16" s="5"/>
    </row>
    <row r="17" spans="1:15" x14ac:dyDescent="0.25">
      <c r="A17" s="158" t="s">
        <v>112</v>
      </c>
      <c r="B17" s="6" t="s">
        <v>139</v>
      </c>
      <c r="C17" s="161">
        <f>VLOOKUP($A17,Sheet1!$A$8:$H$46,7,FALSE)</f>
        <v>408.05481667179998</v>
      </c>
      <c r="D17" s="161">
        <f>VLOOKUP($A17,Sheet1!$A$8:$H$46,6,FALSE)</f>
        <v>20.305225659600001</v>
      </c>
      <c r="E17" s="161">
        <f>VLOOKUP($A17,Sheet1!$A$8:$H$46,5,FALSE)</f>
        <v>0</v>
      </c>
      <c r="F17" s="161">
        <f>VLOOKUP($A17,Sheet1!$A$8:$H$46,4,FALSE)</f>
        <v>7.0722462377999999</v>
      </c>
      <c r="G17" s="161">
        <f>VLOOKUP($A17,Sheet1!$A$8:$H$46,2,FALSE)</f>
        <v>379.94216692129999</v>
      </c>
      <c r="H17" s="161">
        <f>VLOOKUP($A17,Sheet1!$A$8:$H$46,3,FALSE)</f>
        <v>0.73517785309999995</v>
      </c>
      <c r="I17" s="162"/>
      <c r="J17" s="32"/>
      <c r="K17" s="5"/>
    </row>
    <row r="18" spans="1:15" x14ac:dyDescent="0.25">
      <c r="A18" s="166"/>
      <c r="B18" s="167"/>
      <c r="C18" s="161"/>
      <c r="D18" s="161"/>
      <c r="E18" s="161"/>
      <c r="F18" s="161"/>
      <c r="G18" s="161"/>
      <c r="H18" s="161"/>
      <c r="I18" s="162"/>
      <c r="J18" s="163"/>
      <c r="K18" s="5"/>
    </row>
    <row r="19" spans="1:15" x14ac:dyDescent="0.25">
      <c r="A19" s="6" t="s">
        <v>121</v>
      </c>
      <c r="B19" s="6" t="s">
        <v>118</v>
      </c>
      <c r="C19" s="161">
        <v>223</v>
      </c>
      <c r="D19" s="161">
        <v>60</v>
      </c>
      <c r="E19" s="161">
        <v>6.2407453278</v>
      </c>
      <c r="F19" s="161">
        <v>14.2551899736</v>
      </c>
      <c r="G19" s="161">
        <v>132</v>
      </c>
      <c r="H19" s="161">
        <v>9.1701018959000002</v>
      </c>
      <c r="I19" s="162"/>
      <c r="J19" s="163"/>
      <c r="K19" s="5"/>
    </row>
    <row r="20" spans="1:15" x14ac:dyDescent="0.25">
      <c r="A20" s="5"/>
      <c r="B20" s="5"/>
      <c r="C20" s="161"/>
      <c r="D20" s="161"/>
      <c r="E20" s="161"/>
      <c r="F20" s="161"/>
      <c r="G20" s="161"/>
      <c r="H20" s="161"/>
      <c r="I20" s="162"/>
      <c r="J20" s="163"/>
      <c r="K20" s="5"/>
    </row>
    <row r="21" spans="1:15" x14ac:dyDescent="0.25">
      <c r="A21" s="5" t="s">
        <v>97</v>
      </c>
      <c r="B21" s="6" t="s">
        <v>23</v>
      </c>
      <c r="C21" s="161">
        <v>259.16319218899997</v>
      </c>
      <c r="D21" s="161">
        <f>VLOOKUP($A21,Sheet1!$A$8:$H$46,6,FALSE)</f>
        <v>172.20118070289999</v>
      </c>
      <c r="E21" s="161">
        <f>VLOOKUP($A21,Sheet1!$A$8:$H$46,5,FALSE)</f>
        <v>0</v>
      </c>
      <c r="F21" s="161">
        <f>VLOOKUP($A21,Sheet1!$A$8:$H$46,4,FALSE)</f>
        <v>20.136566434599999</v>
      </c>
      <c r="G21" s="161">
        <f>VLOOKUP($A21,Sheet1!$A$8:$H$46,2,FALSE)</f>
        <v>51.733457499700002</v>
      </c>
      <c r="H21" s="161">
        <f>VLOOKUP($A21,Sheet1!$A$8:$H$46,3,FALSE)</f>
        <v>15.091987551900001</v>
      </c>
      <c r="I21" s="162"/>
      <c r="J21" s="163"/>
      <c r="K21" s="168"/>
    </row>
    <row r="22" spans="1:15" x14ac:dyDescent="0.25">
      <c r="A22" s="5" t="s">
        <v>83</v>
      </c>
      <c r="B22" s="6" t="s">
        <v>12</v>
      </c>
      <c r="C22" s="161">
        <v>255.5765893297</v>
      </c>
      <c r="D22" s="161">
        <f>VLOOKUP($A22,Sheet1!$A$8:$H$46,6,FALSE)</f>
        <v>113.2587099797</v>
      </c>
      <c r="E22" s="161">
        <f>VLOOKUP($A22,Sheet1!$A$8:$H$46,5,FALSE)</f>
        <v>29.797968340200001</v>
      </c>
      <c r="F22" s="161">
        <f>VLOOKUP($A22,Sheet1!$A$8:$H$46,4,FALSE)</f>
        <v>35.521716900500003</v>
      </c>
      <c r="G22" s="161">
        <f>VLOOKUP($A22,Sheet1!$A$8:$H$46,2,FALSE)</f>
        <v>65.744378161399993</v>
      </c>
      <c r="H22" s="161">
        <f>VLOOKUP($A22,Sheet1!$A$8:$H$46,3,FALSE)</f>
        <v>11.253815948</v>
      </c>
      <c r="I22" s="162"/>
      <c r="J22" s="163"/>
      <c r="K22" s="168"/>
    </row>
    <row r="23" spans="1:15" x14ac:dyDescent="0.25">
      <c r="A23" s="5" t="s">
        <v>82</v>
      </c>
      <c r="B23" s="6" t="s">
        <v>11</v>
      </c>
      <c r="C23" s="161">
        <v>214.83920395550001</v>
      </c>
      <c r="D23" s="161">
        <f>VLOOKUP($A23,Sheet1!$A$8:$H$46,6,FALSE)</f>
        <v>157.64924343179999</v>
      </c>
      <c r="E23" s="161">
        <f>VLOOKUP($A23,Sheet1!$A$8:$H$46,5,FALSE)</f>
        <v>4.2712281830999999</v>
      </c>
      <c r="F23" s="161">
        <f>VLOOKUP($A23,Sheet1!$A$8:$H$46,4,FALSE)</f>
        <v>37.288795072799999</v>
      </c>
      <c r="G23" s="161">
        <f>VLOOKUP($A23,Sheet1!$A$8:$H$46,2,FALSE)</f>
        <v>15.0261753399</v>
      </c>
      <c r="H23" s="161">
        <f>VLOOKUP($A23,Sheet1!$A$8:$H$46,3,FALSE)</f>
        <v>0.60376192799999995</v>
      </c>
      <c r="I23" s="162"/>
      <c r="J23" s="163"/>
      <c r="K23" s="168"/>
    </row>
    <row r="24" spans="1:15" x14ac:dyDescent="0.25">
      <c r="A24" s="5" t="s">
        <v>79</v>
      </c>
      <c r="B24" s="6" t="s">
        <v>8</v>
      </c>
      <c r="C24" s="161">
        <v>158.7364439509</v>
      </c>
      <c r="D24" s="161">
        <f>VLOOKUP($A24,Sheet1!$A$8:$H$46,6,FALSE)</f>
        <v>35.455270067900003</v>
      </c>
      <c r="E24" s="161">
        <f>VLOOKUP($A24,Sheet1!$A$8:$H$46,5,FALSE)</f>
        <v>0</v>
      </c>
      <c r="F24" s="161">
        <f>VLOOKUP($A24,Sheet1!$A$8:$H$46,4,FALSE)</f>
        <v>29.934222073099999</v>
      </c>
      <c r="G24" s="161">
        <f>VLOOKUP($A24,Sheet1!$A$8:$H$46,2,FALSE)</f>
        <v>75.188288566699995</v>
      </c>
      <c r="H24" s="161">
        <f>VLOOKUP($A24,Sheet1!$A$8:$H$46,3,FALSE)</f>
        <v>18.158663243199999</v>
      </c>
      <c r="I24" s="162"/>
      <c r="J24" s="163"/>
      <c r="K24" s="168"/>
    </row>
    <row r="25" spans="1:15" x14ac:dyDescent="0.25">
      <c r="A25" s="5" t="s">
        <v>88</v>
      </c>
      <c r="B25" s="6" t="s">
        <v>15</v>
      </c>
      <c r="C25" s="161">
        <v>110.1772768286</v>
      </c>
      <c r="D25" s="161">
        <f>VLOOKUP($A25,Sheet1!$A$8:$H$46,6,FALSE)</f>
        <v>35.532527246199997</v>
      </c>
      <c r="E25" s="161">
        <f>VLOOKUP($A25,Sheet1!$A$8:$H$46,5,FALSE)</f>
        <v>0</v>
      </c>
      <c r="F25" s="161">
        <f>VLOOKUP($A25,Sheet1!$A$8:$H$46,4,FALSE)</f>
        <v>15.784114643900001</v>
      </c>
      <c r="G25" s="161">
        <f>VLOOKUP($A25,Sheet1!$A$8:$H$46,2,FALSE)</f>
        <v>34.943472795799998</v>
      </c>
      <c r="H25" s="161">
        <f>VLOOKUP($A25,Sheet1!$A$8:$H$46,3,FALSE)</f>
        <v>23.917162142700001</v>
      </c>
      <c r="I25" s="162"/>
      <c r="J25" s="163"/>
      <c r="K25" s="168"/>
    </row>
    <row r="26" spans="1:15" x14ac:dyDescent="0.25">
      <c r="A26" s="5" t="s">
        <v>94</v>
      </c>
      <c r="B26" s="6" t="s">
        <v>20</v>
      </c>
      <c r="C26" s="161">
        <v>82.809296542799999</v>
      </c>
      <c r="D26" s="161">
        <f>VLOOKUP($A26,Sheet1!$A$8:$H$46,6,FALSE)</f>
        <v>6.8411873777999999</v>
      </c>
      <c r="E26" s="161">
        <f>VLOOKUP($A26,Sheet1!$A$8:$H$46,5,FALSE)</f>
        <v>0</v>
      </c>
      <c r="F26" s="161">
        <f>VLOOKUP($A26,Sheet1!$A$8:$H$46,4,FALSE)</f>
        <v>75.968109165000001</v>
      </c>
      <c r="G26" s="161">
        <f>VLOOKUP($A26,Sheet1!$A$8:$H$46,2,FALSE)</f>
        <v>0</v>
      </c>
      <c r="H26" s="161">
        <f>VLOOKUP($A26,Sheet1!$A$8:$H$46,3,FALSE)</f>
        <v>0</v>
      </c>
      <c r="I26" s="162"/>
      <c r="J26" s="163"/>
      <c r="K26" s="168"/>
    </row>
    <row r="27" spans="1:15" x14ac:dyDescent="0.25">
      <c r="A27" s="5" t="s">
        <v>90</v>
      </c>
      <c r="B27" s="6" t="s">
        <v>17</v>
      </c>
      <c r="C27" s="161">
        <v>68.634474112600003</v>
      </c>
      <c r="D27" s="161">
        <f>VLOOKUP($A27,Sheet1!$A$8:$H$46,6,FALSE)</f>
        <v>42.780920561999999</v>
      </c>
      <c r="E27" s="161">
        <f>VLOOKUP($A27,Sheet1!$A$8:$H$46,5,FALSE)</f>
        <v>0</v>
      </c>
      <c r="F27" s="161">
        <f>VLOOKUP($A27,Sheet1!$A$8:$H$46,4,FALSE)</f>
        <v>2.3192763127</v>
      </c>
      <c r="G27" s="161">
        <f>VLOOKUP($A27,Sheet1!$A$8:$H$46,2,FALSE)</f>
        <v>17.0044677956</v>
      </c>
      <c r="H27" s="161">
        <f>VLOOKUP($A27,Sheet1!$A$8:$H$46,3,FALSE)</f>
        <v>6.5298094423000004</v>
      </c>
      <c r="I27" s="162"/>
      <c r="J27" s="163"/>
      <c r="K27" s="168"/>
    </row>
    <row r="28" spans="1:15" x14ac:dyDescent="0.25">
      <c r="A28" s="5" t="s">
        <v>86</v>
      </c>
      <c r="B28" s="6" t="s">
        <v>168</v>
      </c>
      <c r="C28" s="161">
        <v>64.570202959100001</v>
      </c>
      <c r="D28" s="161">
        <f>VLOOKUP($A28,Sheet1!$A$8:$H$46,6,FALSE)</f>
        <v>53.334559114500003</v>
      </c>
      <c r="E28" s="161">
        <f>VLOOKUP($A28,Sheet1!$A$8:$H$46,5,FALSE)</f>
        <v>0</v>
      </c>
      <c r="F28" s="161">
        <f>VLOOKUP($A28,Sheet1!$A$8:$H$46,4,FALSE)</f>
        <v>2.8642188346999999</v>
      </c>
      <c r="G28" s="161">
        <f>VLOOKUP($A28,Sheet1!$A$8:$H$46,2,FALSE)</f>
        <v>7.9825306064000001</v>
      </c>
      <c r="H28" s="161">
        <f>VLOOKUP($A28,Sheet1!$A$8:$H$46,3,FALSE)</f>
        <v>0.38889440349999999</v>
      </c>
      <c r="I28" s="162"/>
      <c r="J28" s="163"/>
      <c r="K28" s="168"/>
    </row>
    <row r="29" spans="1:15" x14ac:dyDescent="0.25">
      <c r="A29" s="5" t="s">
        <v>95</v>
      </c>
      <c r="B29" s="6" t="s">
        <v>21</v>
      </c>
      <c r="C29" s="161">
        <v>54.163996285099998</v>
      </c>
      <c r="D29" s="161">
        <f>VLOOKUP($A29,Sheet1!$A$8:$H$46,6,FALSE)</f>
        <v>20.957082038599999</v>
      </c>
      <c r="E29" s="161">
        <f>VLOOKUP($A29,Sheet1!$A$8:$H$46,5,FALSE)</f>
        <v>0</v>
      </c>
      <c r="F29" s="161">
        <f>VLOOKUP($A29,Sheet1!$A$8:$H$46,4,FALSE)</f>
        <v>3.5104392953999999</v>
      </c>
      <c r="G29" s="161">
        <f>VLOOKUP($A29,Sheet1!$A$8:$H$46,2,FALSE)</f>
        <v>21.806592587600001</v>
      </c>
      <c r="H29" s="161">
        <f>VLOOKUP($A29,Sheet1!$A$8:$H$46,3,FALSE)</f>
        <v>7.8898823635999999</v>
      </c>
      <c r="I29" s="162"/>
      <c r="J29" s="163"/>
      <c r="K29" s="168"/>
    </row>
    <row r="30" spans="1:15" x14ac:dyDescent="0.25">
      <c r="A30" s="5" t="s">
        <v>98</v>
      </c>
      <c r="B30" s="6" t="s">
        <v>167</v>
      </c>
      <c r="C30" s="161">
        <v>53.0660960903</v>
      </c>
      <c r="D30" s="161">
        <f>VLOOKUP($A30,Sheet1!$A$8:$H$46,6,FALSE)</f>
        <v>17.269696326599998</v>
      </c>
      <c r="E30" s="161">
        <f>VLOOKUP($A30,Sheet1!$A$8:$H$46,5,FALSE)</f>
        <v>0</v>
      </c>
      <c r="F30" s="161">
        <f>VLOOKUP($A30,Sheet1!$A$8:$H$46,4,FALSE)</f>
        <v>15.9044742056</v>
      </c>
      <c r="G30" s="161">
        <f>VLOOKUP($A30,Sheet1!$A$8:$H$46,2,FALSE)</f>
        <v>11.060173409200001</v>
      </c>
      <c r="H30" s="161">
        <f>VLOOKUP($A30,Sheet1!$A$8:$H$46,3,FALSE)</f>
        <v>8.8317522596</v>
      </c>
      <c r="I30" s="169"/>
      <c r="J30" s="163"/>
      <c r="K30" s="168"/>
      <c r="L30" s="38"/>
      <c r="M30" s="38"/>
      <c r="O30" s="38"/>
    </row>
    <row r="31" spans="1:15" x14ac:dyDescent="0.25">
      <c r="A31" s="158" t="s">
        <v>81</v>
      </c>
      <c r="B31" s="6" t="s">
        <v>10</v>
      </c>
      <c r="C31" s="161">
        <v>52.631473527600001</v>
      </c>
      <c r="D31" s="161">
        <f>VLOOKUP($A31,Sheet1!$A$8:$H$46,6,FALSE)</f>
        <v>22.157044740300002</v>
      </c>
      <c r="E31" s="161">
        <f>VLOOKUP($A31,Sheet1!$A$8:$H$46,5,FALSE)</f>
        <v>0</v>
      </c>
      <c r="F31" s="161">
        <f>VLOOKUP($A31,Sheet1!$A$8:$H$46,4,FALSE)</f>
        <v>2.6300574074999998</v>
      </c>
      <c r="G31" s="161">
        <f>VLOOKUP($A31,Sheet1!$A$8:$H$46,2,FALSE)</f>
        <v>21.481723590400001</v>
      </c>
      <c r="H31" s="161">
        <f>VLOOKUP($A31,Sheet1!$A$8:$H$46,3,FALSE)</f>
        <v>6.3626478830000002</v>
      </c>
      <c r="I31" s="162"/>
      <c r="J31" s="163"/>
      <c r="K31" s="168"/>
    </row>
    <row r="32" spans="1:15" x14ac:dyDescent="0.25">
      <c r="A32" s="5" t="s">
        <v>87</v>
      </c>
      <c r="B32" s="6" t="s">
        <v>14</v>
      </c>
      <c r="C32" s="161">
        <v>51.845263000700001</v>
      </c>
      <c r="D32" s="161">
        <f>VLOOKUP($A32,Sheet1!$A$8:$H$46,6,FALSE)</f>
        <v>34.429969794000002</v>
      </c>
      <c r="E32" s="161">
        <f>VLOOKUP($A32,Sheet1!$A$8:$H$46,5,FALSE)</f>
        <v>0</v>
      </c>
      <c r="F32" s="161">
        <f>VLOOKUP($A32,Sheet1!$A$8:$H$46,4,FALSE)</f>
        <v>2.6207953926999998</v>
      </c>
      <c r="G32" s="161">
        <f>VLOOKUP($A32,Sheet1!$A$8:$H$46,2,FALSE)</f>
        <v>13.185381298999999</v>
      </c>
      <c r="H32" s="161">
        <f>VLOOKUP($A32,Sheet1!$A$8:$H$46,3,FALSE)</f>
        <v>1.609116515</v>
      </c>
      <c r="I32" s="162"/>
      <c r="J32" s="163"/>
      <c r="K32" s="168"/>
    </row>
    <row r="33" spans="1:15" x14ac:dyDescent="0.25">
      <c r="A33" s="5" t="s">
        <v>91</v>
      </c>
      <c r="B33" s="6" t="s">
        <v>49</v>
      </c>
      <c r="C33" s="161">
        <v>48.388139405700002</v>
      </c>
      <c r="D33" s="161">
        <f>VLOOKUP($A33,Sheet1!$A$8:$H$46,6,FALSE)</f>
        <v>43.766701763900002</v>
      </c>
      <c r="E33" s="161">
        <f>VLOOKUP($A33,Sheet1!$A$8:$H$46,5,FALSE)</f>
        <v>0</v>
      </c>
      <c r="F33" s="161">
        <f>VLOOKUP($A33,Sheet1!$A$8:$H$46,4,FALSE)</f>
        <v>0.75161361360000001</v>
      </c>
      <c r="G33" s="161">
        <f>VLOOKUP($A33,Sheet1!$A$8:$H$46,2,FALSE)</f>
        <v>3.8698240282</v>
      </c>
      <c r="H33" s="161">
        <f>VLOOKUP($A33,Sheet1!$A$8:$H$46,3,FALSE)</f>
        <v>0</v>
      </c>
      <c r="I33" s="162"/>
      <c r="J33" s="163"/>
      <c r="K33" s="168"/>
    </row>
    <row r="34" spans="1:15" x14ac:dyDescent="0.25">
      <c r="A34" s="5" t="s">
        <v>99</v>
      </c>
      <c r="B34" s="6" t="s">
        <v>25</v>
      </c>
      <c r="C34" s="161">
        <v>43.358588208299999</v>
      </c>
      <c r="D34" s="161">
        <f>VLOOKUP($A34,Sheet1!$A$8:$H$46,6,FALSE)</f>
        <v>31.122481308499999</v>
      </c>
      <c r="E34" s="161">
        <f>VLOOKUP($A34,Sheet1!$A$8:$H$46,5,FALSE)</f>
        <v>0</v>
      </c>
      <c r="F34" s="161">
        <f>VLOOKUP($A34,Sheet1!$A$8:$H$46,4,FALSE)</f>
        <v>8.8622406299999998E-2</v>
      </c>
      <c r="G34" s="161">
        <f>VLOOKUP($A34,Sheet1!$A$8:$H$46,2,FALSE)</f>
        <v>7.2915608923999997</v>
      </c>
      <c r="H34" s="161">
        <f>VLOOKUP($A34,Sheet1!$A$8:$H$46,3,FALSE)</f>
        <v>4.8559236009999998</v>
      </c>
      <c r="I34" s="162"/>
      <c r="J34" s="163"/>
      <c r="K34" s="168"/>
    </row>
    <row r="35" spans="1:15" x14ac:dyDescent="0.25">
      <c r="A35" s="5" t="s">
        <v>100</v>
      </c>
      <c r="B35" s="6" t="s">
        <v>26</v>
      </c>
      <c r="C35" s="161">
        <v>42.966327887600002</v>
      </c>
      <c r="D35" s="161">
        <f>VLOOKUP($A35,Sheet1!$A$8:$H$46,6,FALSE)</f>
        <v>13.2742393092</v>
      </c>
      <c r="E35" s="161">
        <f>VLOOKUP($A35,Sheet1!$A$8:$H$46,5,FALSE)</f>
        <v>0</v>
      </c>
      <c r="F35" s="161">
        <f>VLOOKUP($A35,Sheet1!$A$8:$H$46,4,FALSE)</f>
        <v>4.2369995511000003</v>
      </c>
      <c r="G35" s="161">
        <f>VLOOKUP($A35,Sheet1!$A$8:$H$46,2,FALSE)</f>
        <v>22.972228600699999</v>
      </c>
      <c r="H35" s="161">
        <f>VLOOKUP($A35,Sheet1!$A$8:$H$46,3,FALSE)</f>
        <v>2.4828604264999998</v>
      </c>
      <c r="I35" s="162"/>
      <c r="J35" s="163"/>
      <c r="K35" s="168"/>
    </row>
    <row r="36" spans="1:15" x14ac:dyDescent="0.25">
      <c r="A36" s="5" t="s">
        <v>93</v>
      </c>
      <c r="B36" s="6" t="s">
        <v>19</v>
      </c>
      <c r="C36" s="161">
        <v>34.501185002699998</v>
      </c>
      <c r="D36" s="161">
        <f>VLOOKUP($A36,Sheet1!$A$8:$H$46,6,FALSE)</f>
        <v>21.3307120011</v>
      </c>
      <c r="E36" s="161">
        <f>VLOOKUP($A36,Sheet1!$A$8:$H$46,5,FALSE)</f>
        <v>0</v>
      </c>
      <c r="F36" s="161">
        <f>VLOOKUP($A36,Sheet1!$A$8:$H$46,4,FALSE)</f>
        <v>2.3862335559000001</v>
      </c>
      <c r="G36" s="161">
        <f>VLOOKUP($A36,Sheet1!$A$8:$H$46,2,FALSE)</f>
        <v>9.9995299541999998</v>
      </c>
      <c r="H36" s="161">
        <f>VLOOKUP($A36,Sheet1!$A$8:$H$46,3,FALSE)</f>
        <v>0.78470949160000003</v>
      </c>
      <c r="I36" s="162"/>
      <c r="J36" s="163"/>
      <c r="K36" s="168"/>
    </row>
    <row r="37" spans="1:15" x14ac:dyDescent="0.25">
      <c r="A37" s="5" t="s">
        <v>102</v>
      </c>
      <c r="B37" s="6" t="s">
        <v>28</v>
      </c>
      <c r="C37" s="161">
        <v>25.867538383999999</v>
      </c>
      <c r="D37" s="161">
        <f>VLOOKUP($A37,Sheet1!$A$8:$H$46,6,FALSE)</f>
        <v>10.6844270755</v>
      </c>
      <c r="E37" s="161">
        <f>VLOOKUP($A37,Sheet1!$A$8:$H$46,5,FALSE)</f>
        <v>6.402421125</v>
      </c>
      <c r="F37" s="161">
        <f>VLOOKUP($A37,Sheet1!$A$8:$H$46,4,FALSE)</f>
        <v>0.73454506369999994</v>
      </c>
      <c r="G37" s="161">
        <f>VLOOKUP($A37,Sheet1!$A$8:$H$46,2,FALSE)</f>
        <v>5.3541865917999996</v>
      </c>
      <c r="H37" s="161">
        <f>VLOOKUP($A37,Sheet1!$A$8:$H$46,3,FALSE)</f>
        <v>2.6919585279999998</v>
      </c>
      <c r="I37" s="162"/>
      <c r="J37" s="163"/>
      <c r="K37" s="168"/>
    </row>
    <row r="38" spans="1:15" x14ac:dyDescent="0.25">
      <c r="A38" s="158" t="s">
        <v>103</v>
      </c>
      <c r="B38" s="6" t="s">
        <v>29</v>
      </c>
      <c r="C38" s="161">
        <v>25.6459328408</v>
      </c>
      <c r="D38" s="161">
        <f>VLOOKUP($A38,Sheet1!$A$8:$H$46,6,FALSE)</f>
        <v>12.416359767499999</v>
      </c>
      <c r="E38" s="161">
        <f>VLOOKUP($A38,Sheet1!$A$8:$H$46,5,FALSE)</f>
        <v>0</v>
      </c>
      <c r="F38" s="161">
        <f>VLOOKUP($A38,Sheet1!$A$8:$H$46,4,FALSE)</f>
        <v>0.81805354880000003</v>
      </c>
      <c r="G38" s="161">
        <f>VLOOKUP($A38,Sheet1!$A$8:$H$46,2,FALSE)</f>
        <v>11.2913288383</v>
      </c>
      <c r="H38" s="161">
        <f>VLOOKUP($A38,Sheet1!$A$8:$H$46,3,FALSE)</f>
        <v>1.1201908703000001</v>
      </c>
      <c r="I38" s="162"/>
      <c r="J38" s="163"/>
      <c r="K38" s="168"/>
    </row>
    <row r="39" spans="1:15" x14ac:dyDescent="0.25">
      <c r="A39" s="5" t="s">
        <v>89</v>
      </c>
      <c r="B39" s="6" t="s">
        <v>16</v>
      </c>
      <c r="C39" s="161">
        <v>25.293685629799999</v>
      </c>
      <c r="D39" s="161">
        <f>VLOOKUP($A39,Sheet1!$A$8:$H$46,6,FALSE)</f>
        <v>19.422587253</v>
      </c>
      <c r="E39" s="161">
        <f>VLOOKUP($A39,Sheet1!$A$8:$H$46,5,FALSE)</f>
        <v>0</v>
      </c>
      <c r="F39" s="161">
        <f>VLOOKUP($A39,Sheet1!$A$8:$H$46,4,FALSE)</f>
        <v>5.0185230513999999</v>
      </c>
      <c r="G39" s="161">
        <f>VLOOKUP($A39,Sheet1!$A$8:$H$46,2,FALSE)</f>
        <v>0.85257532540000003</v>
      </c>
      <c r="H39" s="161">
        <f>VLOOKUP($A39,Sheet1!$A$8:$H$46,3,FALSE)</f>
        <v>0</v>
      </c>
      <c r="I39" s="162"/>
      <c r="J39" s="163"/>
      <c r="K39" s="168"/>
    </row>
    <row r="40" spans="1:15" x14ac:dyDescent="0.25">
      <c r="A40" s="5" t="s">
        <v>101</v>
      </c>
      <c r="B40" s="6" t="s">
        <v>27</v>
      </c>
      <c r="C40" s="161">
        <v>24.59837078</v>
      </c>
      <c r="D40" s="161">
        <f>VLOOKUP($A40,Sheet1!$A$8:$H$46,6,FALSE)</f>
        <v>15.044653117599999</v>
      </c>
      <c r="E40" s="161">
        <f>VLOOKUP($A40,Sheet1!$A$8:$H$46,5,FALSE)</f>
        <v>0</v>
      </c>
      <c r="F40" s="161">
        <f>VLOOKUP($A40,Sheet1!$A$8:$H$46,4,FALSE)</f>
        <v>4.3286390709000004</v>
      </c>
      <c r="G40" s="161">
        <f>VLOOKUP($A40,Sheet1!$A$8:$H$46,2,FALSE)</f>
        <v>3.8268996166</v>
      </c>
      <c r="H40" s="161">
        <f>VLOOKUP($A40,Sheet1!$A$8:$H$46,3,FALSE)</f>
        <v>1.3981790274000001</v>
      </c>
      <c r="I40" s="162"/>
      <c r="J40" s="163"/>
      <c r="K40" s="168"/>
      <c r="L40" s="5"/>
      <c r="M40" s="5"/>
      <c r="N40" s="5"/>
      <c r="O40" s="5"/>
    </row>
    <row r="41" spans="1:15" x14ac:dyDescent="0.25">
      <c r="A41" s="5" t="s">
        <v>85</v>
      </c>
      <c r="B41" s="6" t="s">
        <v>185</v>
      </c>
      <c r="C41" s="161">
        <v>20.8489374141</v>
      </c>
      <c r="D41" s="161">
        <f>VLOOKUP($A41,Sheet1!$A$8:$H$46,6,FALSE)</f>
        <v>0.67094682230000002</v>
      </c>
      <c r="E41" s="161">
        <f>VLOOKUP($A41,Sheet1!$A$8:$H$46,5,FALSE)</f>
        <v>8.3629866232999994</v>
      </c>
      <c r="F41" s="161">
        <f>VLOOKUP($A41,Sheet1!$A$8:$H$46,4,FALSE)</f>
        <v>7.0019397178</v>
      </c>
      <c r="G41" s="161">
        <f>VLOOKUP($A41,Sheet1!$A$8:$H$46,2,FALSE)</f>
        <v>2.9641674893999999</v>
      </c>
      <c r="H41" s="161">
        <f>VLOOKUP($A41,Sheet1!$A$8:$H$46,3,FALSE)</f>
        <v>1.8488967613</v>
      </c>
      <c r="I41" s="162"/>
      <c r="J41" s="163"/>
      <c r="K41" s="168"/>
    </row>
    <row r="42" spans="1:15" x14ac:dyDescent="0.25">
      <c r="A42" s="158" t="s">
        <v>96</v>
      </c>
      <c r="B42" s="6" t="s">
        <v>22</v>
      </c>
      <c r="C42" s="161">
        <v>0.45754462280000002</v>
      </c>
      <c r="D42" s="161">
        <v>0</v>
      </c>
      <c r="E42" s="161">
        <v>0</v>
      </c>
      <c r="F42" s="161">
        <v>0</v>
      </c>
      <c r="G42" s="161">
        <v>0</v>
      </c>
      <c r="H42" s="161">
        <v>0.45754462280000002</v>
      </c>
      <c r="I42" s="169"/>
      <c r="J42" s="32"/>
      <c r="K42" s="5"/>
    </row>
    <row r="43" spans="1:15" x14ac:dyDescent="0.25">
      <c r="A43" s="158"/>
      <c r="C43" s="161"/>
      <c r="D43" s="161"/>
      <c r="E43" s="161"/>
      <c r="F43" s="161"/>
      <c r="G43" s="161"/>
      <c r="H43" s="161"/>
      <c r="I43" s="169"/>
      <c r="J43" s="32"/>
      <c r="K43" s="5"/>
    </row>
    <row r="44" spans="1:15" x14ac:dyDescent="0.25">
      <c r="A44" s="158"/>
      <c r="C44" s="161"/>
      <c r="D44" s="161"/>
      <c r="E44" s="161"/>
      <c r="F44" s="161"/>
      <c r="G44" s="161"/>
      <c r="H44" s="161"/>
      <c r="I44" s="169"/>
      <c r="J44" s="32"/>
      <c r="K44" s="5"/>
    </row>
    <row r="45" spans="1:15" x14ac:dyDescent="0.25">
      <c r="A45" s="158"/>
      <c r="I45" s="162"/>
      <c r="J45" s="32"/>
      <c r="K45" s="5"/>
      <c r="N45" s="38"/>
      <c r="O45" s="38"/>
    </row>
    <row r="46" spans="1:15" x14ac:dyDescent="0.25">
      <c r="A46" s="158"/>
      <c r="C46" s="25"/>
      <c r="D46" s="25"/>
      <c r="E46" s="25"/>
      <c r="F46" s="25"/>
      <c r="G46" s="25"/>
      <c r="H46" s="25"/>
      <c r="I46" s="162"/>
      <c r="J46" s="32"/>
      <c r="K46" s="5"/>
      <c r="L46" s="91"/>
      <c r="M46" s="91"/>
      <c r="N46" s="91"/>
      <c r="O46" s="170"/>
    </row>
    <row r="47" spans="1:15" x14ac:dyDescent="0.25">
      <c r="A47" s="158"/>
      <c r="B47" s="6" t="s">
        <v>169</v>
      </c>
      <c r="I47" s="162"/>
      <c r="J47" s="5"/>
      <c r="K47" s="5"/>
      <c r="L47" s="5"/>
      <c r="M47" s="5"/>
      <c r="N47" s="5"/>
      <c r="O47" s="5"/>
    </row>
    <row r="48" spans="1:15" ht="14.5" customHeight="1" x14ac:dyDescent="0.25">
      <c r="A48" s="158"/>
      <c r="B48" s="71" t="s">
        <v>188</v>
      </c>
      <c r="C48" s="171"/>
      <c r="D48" s="171"/>
      <c r="E48" s="171"/>
      <c r="F48" s="171"/>
      <c r="G48" s="171"/>
      <c r="H48" s="171"/>
      <c r="I48" s="162"/>
      <c r="J48" s="5"/>
      <c r="K48" s="5"/>
      <c r="L48" s="158"/>
      <c r="M48" s="158"/>
      <c r="N48" s="158"/>
      <c r="O48" s="158"/>
    </row>
    <row r="49" spans="1:15" x14ac:dyDescent="0.25">
      <c r="A49" s="158"/>
      <c r="B49" s="6" t="s">
        <v>60</v>
      </c>
      <c r="I49" s="5"/>
      <c r="J49" s="42"/>
      <c r="K49" s="42"/>
      <c r="L49" s="158"/>
      <c r="M49" s="158"/>
      <c r="N49" s="158"/>
      <c r="O49" s="158"/>
    </row>
    <row r="50" spans="1:15" ht="13" x14ac:dyDescent="0.25">
      <c r="B50" s="26" t="s">
        <v>177</v>
      </c>
      <c r="C50" s="68"/>
      <c r="D50" s="91"/>
      <c r="E50" s="91"/>
      <c r="F50" s="91"/>
      <c r="G50" s="170"/>
      <c r="H50" s="91"/>
      <c r="I50" s="5"/>
      <c r="L50" s="68"/>
      <c r="M50" s="68"/>
      <c r="N50" s="68"/>
      <c r="O50" s="68"/>
    </row>
    <row r="51" spans="1:15" x14ac:dyDescent="0.25">
      <c r="B51" s="5"/>
      <c r="D51" s="5"/>
      <c r="E51" s="5"/>
      <c r="F51" s="5"/>
      <c r="G51" s="5"/>
      <c r="H51" s="5"/>
      <c r="I51" s="42" t="s">
        <v>45</v>
      </c>
      <c r="L51" s="5"/>
    </row>
    <row r="52" spans="1:15" ht="13" x14ac:dyDescent="0.25">
      <c r="B52" s="41"/>
      <c r="C52" s="26"/>
      <c r="D52" s="158"/>
      <c r="E52" s="158"/>
      <c r="F52" s="158"/>
      <c r="G52" s="158"/>
      <c r="H52" s="158"/>
      <c r="L52" s="5"/>
    </row>
    <row r="53" spans="1:15" x14ac:dyDescent="0.25">
      <c r="B53" s="5"/>
      <c r="C53" s="5"/>
      <c r="D53" s="158"/>
      <c r="E53" s="158"/>
      <c r="F53" s="158"/>
      <c r="G53" s="158"/>
      <c r="H53" s="158"/>
      <c r="L53" s="5"/>
    </row>
    <row r="54" spans="1:15" x14ac:dyDescent="0.25">
      <c r="B54" s="5"/>
      <c r="C54" s="5"/>
      <c r="D54" s="68"/>
      <c r="E54" s="68"/>
      <c r="F54" s="68"/>
      <c r="G54" s="68"/>
      <c r="H54" s="68"/>
      <c r="L54" s="5"/>
    </row>
    <row r="55" spans="1:15" ht="15.5" x14ac:dyDescent="0.25">
      <c r="B55" s="191" t="s">
        <v>155</v>
      </c>
      <c r="C55" s="5"/>
      <c r="F55" s="5"/>
      <c r="L55" s="5"/>
    </row>
    <row r="56" spans="1:15" ht="14" x14ac:dyDescent="0.25">
      <c r="B56" s="204" t="s">
        <v>68</v>
      </c>
      <c r="C56" s="5"/>
      <c r="F56" s="5"/>
      <c r="L56" s="5"/>
    </row>
    <row r="57" spans="1:15" x14ac:dyDescent="0.25">
      <c r="B57" s="5"/>
      <c r="C57" s="5"/>
      <c r="F57" s="5"/>
      <c r="L57" s="5"/>
      <c r="M57" s="5"/>
    </row>
    <row r="58" spans="1:15" x14ac:dyDescent="0.25">
      <c r="B58" s="5"/>
      <c r="C58" s="5"/>
      <c r="F58" s="5"/>
      <c r="L58" s="5"/>
      <c r="M58" s="5"/>
    </row>
    <row r="59" spans="1:15" ht="13" x14ac:dyDescent="0.25">
      <c r="B59" s="5"/>
      <c r="C59" s="177"/>
      <c r="F59" s="5"/>
      <c r="L59" s="5"/>
    </row>
    <row r="60" spans="1:15" ht="13" x14ac:dyDescent="0.25">
      <c r="B60" s="5"/>
      <c r="C60" s="175"/>
      <c r="F60" s="5"/>
      <c r="L60" s="5"/>
      <c r="M60" s="172"/>
    </row>
    <row r="61" spans="1:15" x14ac:dyDescent="0.25">
      <c r="B61" s="5"/>
      <c r="C61" s="5"/>
      <c r="F61" s="5"/>
      <c r="L61" s="5"/>
      <c r="M61" s="173"/>
    </row>
    <row r="62" spans="1:15" x14ac:dyDescent="0.25">
      <c r="B62" s="5"/>
      <c r="C62" s="5"/>
      <c r="F62" s="5"/>
      <c r="L62" s="5"/>
    </row>
    <row r="63" spans="1:15" x14ac:dyDescent="0.25">
      <c r="B63" s="5"/>
      <c r="C63" s="5"/>
      <c r="F63" s="5"/>
      <c r="L63" s="5"/>
    </row>
    <row r="64" spans="1:15" x14ac:dyDescent="0.25">
      <c r="B64" s="5"/>
      <c r="C64" s="5"/>
      <c r="F64" s="5"/>
      <c r="L64" s="5"/>
    </row>
    <row r="65" spans="2:13" x14ac:dyDescent="0.25">
      <c r="B65" s="5"/>
      <c r="C65" s="5"/>
      <c r="F65" s="5"/>
      <c r="L65" s="5"/>
    </row>
    <row r="66" spans="2:13" x14ac:dyDescent="0.25">
      <c r="B66" s="5"/>
      <c r="C66" s="5"/>
      <c r="F66" s="5"/>
      <c r="L66" s="5"/>
    </row>
    <row r="67" spans="2:13" ht="13" x14ac:dyDescent="0.25">
      <c r="B67" s="5"/>
      <c r="C67" s="5"/>
      <c r="F67" s="5"/>
      <c r="L67" s="5"/>
      <c r="M67" s="172"/>
    </row>
    <row r="68" spans="2:13" x14ac:dyDescent="0.25">
      <c r="B68" s="5"/>
      <c r="C68" s="5"/>
      <c r="F68" s="5"/>
      <c r="L68" s="5"/>
      <c r="M68" s="173"/>
    </row>
    <row r="69" spans="2:13" x14ac:dyDescent="0.25">
      <c r="B69" s="5"/>
      <c r="C69" s="5"/>
      <c r="F69" s="5"/>
      <c r="L69" s="5"/>
    </row>
    <row r="70" spans="2:13" x14ac:dyDescent="0.25">
      <c r="B70" s="5"/>
      <c r="C70" s="5"/>
      <c r="F70" s="5"/>
      <c r="L70" s="5"/>
    </row>
    <row r="71" spans="2:13" x14ac:dyDescent="0.25">
      <c r="B71" s="5"/>
      <c r="C71" s="5"/>
      <c r="F71" s="5"/>
      <c r="L71" s="5"/>
    </row>
    <row r="72" spans="2:13" x14ac:dyDescent="0.25">
      <c r="B72" s="5"/>
      <c r="C72" s="5"/>
      <c r="F72" s="5"/>
      <c r="L72" s="5"/>
    </row>
    <row r="73" spans="2:13" x14ac:dyDescent="0.25">
      <c r="B73" s="5"/>
      <c r="C73" s="5"/>
      <c r="F73" s="5"/>
      <c r="L73" s="5"/>
    </row>
    <row r="74" spans="2:13" x14ac:dyDescent="0.25">
      <c r="B74" s="5"/>
      <c r="C74" s="5"/>
      <c r="F74" s="5"/>
      <c r="L74" s="5"/>
    </row>
    <row r="75" spans="2:13" x14ac:dyDescent="0.25">
      <c r="B75" s="5"/>
      <c r="C75" s="5"/>
      <c r="F75" s="5"/>
      <c r="L75" s="5"/>
    </row>
    <row r="76" spans="2:13" x14ac:dyDescent="0.25">
      <c r="B76" s="5"/>
      <c r="C76" s="5"/>
      <c r="F76" s="5"/>
      <c r="L76" s="5"/>
    </row>
    <row r="77" spans="2:13" x14ac:dyDescent="0.25">
      <c r="B77" s="5"/>
      <c r="C77" s="5"/>
      <c r="F77" s="5"/>
      <c r="L77" s="5"/>
    </row>
    <row r="78" spans="2:13" x14ac:dyDescent="0.25">
      <c r="B78" s="5"/>
      <c r="C78" s="5"/>
      <c r="F78" s="5"/>
      <c r="L78" s="5"/>
    </row>
    <row r="79" spans="2:13" x14ac:dyDescent="0.25">
      <c r="B79" s="5"/>
      <c r="C79" s="5"/>
      <c r="F79" s="5"/>
      <c r="L79" s="5"/>
    </row>
    <row r="80" spans="2:13" x14ac:dyDescent="0.25">
      <c r="B80" s="5"/>
      <c r="C80" s="5"/>
      <c r="F80" s="5"/>
      <c r="L80" s="5"/>
    </row>
    <row r="81" spans="2:12" x14ac:dyDescent="0.25">
      <c r="B81" s="5"/>
      <c r="C81" s="5"/>
      <c r="F81" s="5"/>
      <c r="L81" s="5"/>
    </row>
    <row r="82" spans="2:12" x14ac:dyDescent="0.25">
      <c r="B82" s="5"/>
      <c r="C82" s="5"/>
      <c r="F82" s="5"/>
      <c r="L82" s="5"/>
    </row>
    <row r="83" spans="2:12" x14ac:dyDescent="0.25">
      <c r="B83" s="5"/>
      <c r="C83" s="5"/>
      <c r="F83" s="5"/>
      <c r="L83" s="5"/>
    </row>
    <row r="84" spans="2:12" x14ac:dyDescent="0.25">
      <c r="B84" s="5"/>
      <c r="C84" s="5"/>
      <c r="F84" s="5"/>
      <c r="L84" s="5"/>
    </row>
    <row r="85" spans="2:12" x14ac:dyDescent="0.25">
      <c r="B85" s="5"/>
      <c r="C85" s="5"/>
      <c r="F85" s="5"/>
      <c r="L85" s="5"/>
    </row>
    <row r="86" spans="2:12" x14ac:dyDescent="0.25">
      <c r="B86" s="5"/>
      <c r="C86" s="5"/>
      <c r="F86" s="5"/>
      <c r="L86" s="5"/>
    </row>
    <row r="87" spans="2:12" x14ac:dyDescent="0.25">
      <c r="B87" s="5"/>
      <c r="C87" s="5"/>
      <c r="F87" s="5"/>
      <c r="L87" s="5"/>
    </row>
    <row r="88" spans="2:12" x14ac:dyDescent="0.25">
      <c r="B88" s="5"/>
      <c r="C88" s="5"/>
      <c r="F88" s="5"/>
      <c r="L88" s="5"/>
    </row>
    <row r="89" spans="2:12" x14ac:dyDescent="0.25">
      <c r="B89" s="5"/>
      <c r="C89" s="5"/>
      <c r="F89" s="5"/>
      <c r="L89" s="5"/>
    </row>
    <row r="90" spans="2:12" x14ac:dyDescent="0.25">
      <c r="B90" s="5"/>
      <c r="C90" s="5"/>
      <c r="F90" s="5"/>
      <c r="L90" s="5"/>
    </row>
    <row r="91" spans="2:12" x14ac:dyDescent="0.25">
      <c r="B91" s="5"/>
      <c r="C91" s="5"/>
      <c r="F91" s="5"/>
      <c r="L91" s="5"/>
    </row>
    <row r="92" spans="2:12" x14ac:dyDescent="0.25">
      <c r="B92" s="5"/>
      <c r="C92" s="5"/>
      <c r="F92" s="5"/>
      <c r="L92" s="5"/>
    </row>
    <row r="93" spans="2:12" x14ac:dyDescent="0.25">
      <c r="B93" s="5"/>
      <c r="C93" s="5"/>
      <c r="F93" s="5"/>
      <c r="L93" s="5"/>
    </row>
    <row r="94" spans="2:12" x14ac:dyDescent="0.25">
      <c r="B94" s="5"/>
      <c r="C94" s="5"/>
      <c r="F94" s="5"/>
      <c r="L94" s="5"/>
    </row>
    <row r="95" spans="2:12" x14ac:dyDescent="0.25">
      <c r="B95" s="5"/>
      <c r="C95" s="5"/>
      <c r="F95" s="5"/>
      <c r="L95" s="5"/>
    </row>
    <row r="96" spans="2:12" x14ac:dyDescent="0.25">
      <c r="B96" s="5"/>
      <c r="C96" s="5"/>
      <c r="F96" s="5"/>
      <c r="L96" s="5"/>
    </row>
    <row r="97" spans="2:12" x14ac:dyDescent="0.25">
      <c r="B97" s="5"/>
      <c r="C97" s="5"/>
      <c r="F97" s="5"/>
      <c r="L97" s="5"/>
    </row>
    <row r="98" spans="2:12" x14ac:dyDescent="0.25">
      <c r="B98" s="5"/>
      <c r="C98" s="5"/>
      <c r="F98" s="5"/>
      <c r="L98" s="5"/>
    </row>
    <row r="99" spans="2:12" x14ac:dyDescent="0.25">
      <c r="B99" s="5"/>
      <c r="C99" s="5"/>
      <c r="F99" s="5"/>
      <c r="L99" s="5"/>
    </row>
    <row r="100" spans="2:12" x14ac:dyDescent="0.25">
      <c r="B100" s="5"/>
      <c r="C100" s="5"/>
      <c r="F100" s="5"/>
      <c r="L100" s="5"/>
    </row>
    <row r="101" spans="2:12" x14ac:dyDescent="0.25">
      <c r="B101" s="6" t="s">
        <v>169</v>
      </c>
      <c r="C101" s="5"/>
      <c r="F101" s="5"/>
      <c r="L101" s="158"/>
    </row>
    <row r="102" spans="2:12" x14ac:dyDescent="0.25">
      <c r="B102" s="71" t="s">
        <v>188</v>
      </c>
      <c r="C102" s="5"/>
      <c r="F102" s="5"/>
    </row>
    <row r="103" spans="2:12" x14ac:dyDescent="0.25">
      <c r="B103" s="6" t="s">
        <v>60</v>
      </c>
      <c r="C103" s="5"/>
      <c r="F103" s="5"/>
    </row>
    <row r="104" spans="2:12" ht="13" x14ac:dyDescent="0.25">
      <c r="B104" s="26" t="s">
        <v>177</v>
      </c>
      <c r="F104" s="5"/>
    </row>
    <row r="105" spans="2:12" ht="13" x14ac:dyDescent="0.25">
      <c r="C105" s="26"/>
      <c r="F105" s="158"/>
    </row>
    <row r="118" spans="1:1" ht="14.5" customHeight="1" x14ac:dyDescent="0.25">
      <c r="A118" s="69" t="s">
        <v>140</v>
      </c>
    </row>
    <row r="119" spans="1:1" x14ac:dyDescent="0.25">
      <c r="A119" s="5" t="s">
        <v>131</v>
      </c>
    </row>
    <row r="121" spans="1:1" x14ac:dyDescent="0.25">
      <c r="A121" s="6" t="s">
        <v>117</v>
      </c>
    </row>
    <row r="122" spans="1:1" ht="13" x14ac:dyDescent="0.25">
      <c r="A122" s="26" t="s">
        <v>177</v>
      </c>
    </row>
  </sheetData>
  <sortState xmlns:xlrd2="http://schemas.microsoft.com/office/spreadsheetml/2017/richdata2" ref="A21:C41">
    <sortCondition descending="1" ref="C21:C41"/>
  </sortState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C7C3-1324-4FD7-9350-4FFCF4F518A9}">
  <dimension ref="A1:P45"/>
  <sheetViews>
    <sheetView topLeftCell="A4" workbookViewId="0">
      <selection activeCell="R14" sqref="R14"/>
    </sheetView>
  </sheetViews>
  <sheetFormatPr defaultColWidth="8.8984375" defaultRowHeight="12.5" x14ac:dyDescent="0.25"/>
  <cols>
    <col min="1" max="1" width="11.09765625" style="174" customWidth="1"/>
    <col min="2" max="2" width="13.3984375" style="174" customWidth="1"/>
    <col min="3" max="4" width="8.8984375" style="174"/>
    <col min="5" max="5" width="13.296875" style="174" customWidth="1"/>
    <col min="6" max="16384" width="8.8984375" style="174"/>
  </cols>
  <sheetData>
    <row r="1" spans="1:16" x14ac:dyDescent="0.25">
      <c r="A1" s="174" t="s">
        <v>120</v>
      </c>
      <c r="B1" s="174" t="s">
        <v>132</v>
      </c>
      <c r="J1" s="174" t="s">
        <v>120</v>
      </c>
      <c r="K1" s="174" t="s">
        <v>132</v>
      </c>
    </row>
    <row r="2" spans="1:16" x14ac:dyDescent="0.25">
      <c r="A2" s="174" t="s">
        <v>128</v>
      </c>
      <c r="B2" s="174">
        <v>2020</v>
      </c>
      <c r="J2" s="174" t="s">
        <v>123</v>
      </c>
      <c r="K2" s="174" t="s">
        <v>152</v>
      </c>
    </row>
    <row r="3" spans="1:16" x14ac:dyDescent="0.25">
      <c r="A3" s="174" t="s">
        <v>153</v>
      </c>
      <c r="B3" s="174" t="s">
        <v>127</v>
      </c>
      <c r="J3" s="174" t="s">
        <v>153</v>
      </c>
      <c r="K3" s="174" t="s">
        <v>127</v>
      </c>
    </row>
    <row r="4" spans="1:16" x14ac:dyDescent="0.25">
      <c r="A4" s="174" t="s">
        <v>123</v>
      </c>
      <c r="B4" s="174" t="s">
        <v>152</v>
      </c>
      <c r="J4" s="174" t="s">
        <v>128</v>
      </c>
      <c r="K4" s="174">
        <v>2022</v>
      </c>
    </row>
    <row r="5" spans="1:16" x14ac:dyDescent="0.25">
      <c r="A5" s="174" t="s">
        <v>129</v>
      </c>
      <c r="B5" s="174" t="s">
        <v>151</v>
      </c>
      <c r="C5" s="174" t="s">
        <v>150</v>
      </c>
      <c r="D5" s="174" t="s">
        <v>149</v>
      </c>
      <c r="E5" s="174" t="s">
        <v>148</v>
      </c>
      <c r="F5" s="174" t="s">
        <v>156</v>
      </c>
      <c r="G5" s="174" t="s">
        <v>147</v>
      </c>
      <c r="J5" s="174" t="s">
        <v>129</v>
      </c>
      <c r="K5" s="174" t="s">
        <v>151</v>
      </c>
      <c r="L5" s="174" t="s">
        <v>150</v>
      </c>
      <c r="M5" s="174" t="s">
        <v>149</v>
      </c>
      <c r="N5" s="174" t="s">
        <v>148</v>
      </c>
      <c r="O5" s="174" t="s">
        <v>156</v>
      </c>
      <c r="P5" s="174" t="s">
        <v>147</v>
      </c>
    </row>
    <row r="7" spans="1:16" x14ac:dyDescent="0.25">
      <c r="A7" s="174" t="s">
        <v>121</v>
      </c>
      <c r="B7" s="174">
        <v>132.3652068586</v>
      </c>
      <c r="C7" s="174">
        <v>9.1701018959000002</v>
      </c>
      <c r="D7" s="174">
        <v>14.2551899736</v>
      </c>
      <c r="E7" s="174">
        <v>6.2407453278</v>
      </c>
      <c r="F7" s="174">
        <v>60.479690042599998</v>
      </c>
      <c r="G7" s="174">
        <v>222.51093408950001</v>
      </c>
      <c r="J7" s="174" t="s">
        <v>121</v>
      </c>
      <c r="K7" s="174">
        <v>132.3652068586</v>
      </c>
      <c r="L7" s="174">
        <v>9.1701018959000002</v>
      </c>
      <c r="M7" s="174">
        <v>14.2551899736</v>
      </c>
      <c r="N7" s="174">
        <v>6.2407453278</v>
      </c>
      <c r="O7" s="174">
        <v>60.479690042599998</v>
      </c>
      <c r="P7" s="174">
        <v>222.51093408950001</v>
      </c>
    </row>
    <row r="8" spans="1:16" x14ac:dyDescent="0.25">
      <c r="A8" s="174" t="s">
        <v>79</v>
      </c>
      <c r="B8" s="174">
        <v>75.188288566699995</v>
      </c>
      <c r="C8" s="174">
        <v>18.158663243199999</v>
      </c>
      <c r="D8" s="174">
        <v>29.934222073099999</v>
      </c>
      <c r="E8" s="174">
        <v>0</v>
      </c>
      <c r="F8" s="174">
        <v>35.455270067900003</v>
      </c>
      <c r="G8" s="174">
        <v>158.7364439509</v>
      </c>
      <c r="J8" s="174" t="s">
        <v>79</v>
      </c>
      <c r="K8" s="174">
        <v>75.188288566699995</v>
      </c>
      <c r="L8" s="174">
        <v>18.158663243199999</v>
      </c>
      <c r="M8" s="174">
        <v>29.934222073099999</v>
      </c>
      <c r="N8" s="174">
        <v>0</v>
      </c>
      <c r="O8" s="174">
        <v>35.455270067900003</v>
      </c>
      <c r="P8" s="174">
        <v>158.7364439509</v>
      </c>
    </row>
    <row r="9" spans="1:16" x14ac:dyDescent="0.25">
      <c r="A9" s="174" t="s">
        <v>80</v>
      </c>
      <c r="B9" s="174">
        <v>2027.5912656073999</v>
      </c>
      <c r="C9" s="174">
        <v>0.17651811049999999</v>
      </c>
      <c r="D9" s="174">
        <v>6.5684961324</v>
      </c>
      <c r="E9" s="174">
        <v>0</v>
      </c>
      <c r="F9" s="174">
        <v>22.602410480100001</v>
      </c>
      <c r="G9" s="174">
        <v>2056.9386903302998</v>
      </c>
      <c r="J9" s="174" t="s">
        <v>80</v>
      </c>
      <c r="K9" s="174">
        <v>2027.5912656073999</v>
      </c>
      <c r="L9" s="174">
        <v>0.17651811049999999</v>
      </c>
      <c r="M9" s="174">
        <v>6.5684961324</v>
      </c>
      <c r="N9" s="174">
        <v>0</v>
      </c>
      <c r="O9" s="174">
        <v>22.602410480100001</v>
      </c>
      <c r="P9" s="174">
        <v>2056.9386903302998</v>
      </c>
    </row>
    <row r="10" spans="1:16" x14ac:dyDescent="0.25">
      <c r="A10" s="174" t="s">
        <v>81</v>
      </c>
      <c r="B10" s="174">
        <v>21.481723590400001</v>
      </c>
      <c r="C10" s="174">
        <v>6.3626478830000002</v>
      </c>
      <c r="D10" s="174">
        <v>2.6300574074999998</v>
      </c>
      <c r="E10" s="174">
        <v>0</v>
      </c>
      <c r="F10" s="174">
        <v>22.157044740300002</v>
      </c>
      <c r="G10" s="174">
        <v>52.631473527600001</v>
      </c>
      <c r="J10" s="174" t="s">
        <v>81</v>
      </c>
      <c r="K10" s="174">
        <v>21.481723590400001</v>
      </c>
      <c r="L10" s="174">
        <v>6.3626478830000002</v>
      </c>
      <c r="M10" s="174">
        <v>2.6300574074999998</v>
      </c>
      <c r="N10" s="174">
        <v>0</v>
      </c>
      <c r="O10" s="174">
        <v>22.157044740300002</v>
      </c>
      <c r="P10" s="174">
        <v>52.631473527600001</v>
      </c>
    </row>
    <row r="11" spans="1:16" x14ac:dyDescent="0.25">
      <c r="A11" s="174" t="s">
        <v>82</v>
      </c>
      <c r="B11" s="174">
        <v>15.0261753399</v>
      </c>
      <c r="C11" s="174">
        <v>0.60376192799999995</v>
      </c>
      <c r="D11" s="174">
        <v>37.288795072799999</v>
      </c>
      <c r="E11" s="174">
        <v>4.2712281830999999</v>
      </c>
      <c r="F11" s="174">
        <v>157.64924343179999</v>
      </c>
      <c r="G11" s="174">
        <v>214.83920395550001</v>
      </c>
      <c r="J11" s="174" t="s">
        <v>82</v>
      </c>
      <c r="K11" s="174">
        <v>15.0261753399</v>
      </c>
      <c r="L11" s="174">
        <v>0.60376192799999995</v>
      </c>
      <c r="M11" s="174">
        <v>37.288795072799999</v>
      </c>
      <c r="N11" s="174">
        <v>4.2712281830999999</v>
      </c>
      <c r="O11" s="174">
        <v>157.64924343179999</v>
      </c>
      <c r="P11" s="174">
        <v>214.83920395550001</v>
      </c>
    </row>
    <row r="12" spans="1:16" x14ac:dyDescent="0.25">
      <c r="A12" s="174" t="s">
        <v>83</v>
      </c>
      <c r="B12" s="174">
        <v>65.744378161399993</v>
      </c>
      <c r="C12" s="174">
        <v>11.253815948</v>
      </c>
      <c r="D12" s="174">
        <v>35.521716900500003</v>
      </c>
      <c r="E12" s="174">
        <v>29.797968340200001</v>
      </c>
      <c r="F12" s="174">
        <v>113.2587099797</v>
      </c>
      <c r="G12" s="174">
        <v>255.5765893297</v>
      </c>
      <c r="J12" s="174" t="s">
        <v>83</v>
      </c>
      <c r="K12" s="174">
        <v>65.744378161399993</v>
      </c>
      <c r="L12" s="174">
        <v>11.253815948</v>
      </c>
      <c r="M12" s="174">
        <v>35.521716900500003</v>
      </c>
      <c r="N12" s="174">
        <v>29.797968340200001</v>
      </c>
      <c r="O12" s="174">
        <v>113.2587099797</v>
      </c>
      <c r="P12" s="174">
        <v>255.5765893297</v>
      </c>
    </row>
    <row r="13" spans="1:16" x14ac:dyDescent="0.25">
      <c r="A13" s="174" t="s">
        <v>84</v>
      </c>
      <c r="B13" s="174">
        <v>770.5320912784</v>
      </c>
      <c r="C13" s="174">
        <v>9.1634289999999998E-4</v>
      </c>
      <c r="D13" s="174">
        <v>2.8710625425999998</v>
      </c>
      <c r="E13" s="174">
        <v>0</v>
      </c>
      <c r="F13" s="174">
        <v>309.49555321610001</v>
      </c>
      <c r="G13" s="174">
        <v>1082.8996241215</v>
      </c>
      <c r="J13" s="174" t="s">
        <v>84</v>
      </c>
      <c r="K13" s="174">
        <v>770.5320912784</v>
      </c>
      <c r="L13" s="174">
        <v>9.1634289999999998E-4</v>
      </c>
      <c r="M13" s="174">
        <v>2.8710625425999998</v>
      </c>
      <c r="N13" s="174">
        <v>0</v>
      </c>
      <c r="O13" s="174">
        <v>309.49555321610001</v>
      </c>
      <c r="P13" s="174">
        <v>1082.8996241215</v>
      </c>
    </row>
    <row r="14" spans="1:16" x14ac:dyDescent="0.25">
      <c r="A14" s="174" t="s">
        <v>85</v>
      </c>
      <c r="B14" s="174">
        <v>2.9641674893999999</v>
      </c>
      <c r="C14" s="174">
        <v>1.8488967613</v>
      </c>
      <c r="D14" s="174">
        <v>7.0019397178</v>
      </c>
      <c r="E14" s="174">
        <v>8.3629866232999994</v>
      </c>
      <c r="F14" s="174">
        <v>0.67094682230000002</v>
      </c>
      <c r="G14" s="174">
        <v>20.8489374141</v>
      </c>
      <c r="J14" s="174" t="s">
        <v>85</v>
      </c>
      <c r="K14" s="174">
        <v>2.9641674893999999</v>
      </c>
      <c r="L14" s="174">
        <v>1.8488967613</v>
      </c>
      <c r="M14" s="174">
        <v>7.0019397178</v>
      </c>
      <c r="N14" s="174">
        <v>8.3629866232999994</v>
      </c>
      <c r="O14" s="174">
        <v>0.67094682230000002</v>
      </c>
      <c r="P14" s="174">
        <v>20.8489374141</v>
      </c>
    </row>
    <row r="15" spans="1:16" x14ac:dyDescent="0.25">
      <c r="A15" s="174" t="s">
        <v>86</v>
      </c>
      <c r="B15" s="174">
        <v>7.9825306064000001</v>
      </c>
      <c r="C15" s="174">
        <v>0.38889440349999999</v>
      </c>
      <c r="D15" s="174">
        <v>2.8642188346999999</v>
      </c>
      <c r="E15" s="174">
        <v>0</v>
      </c>
      <c r="F15" s="174">
        <v>53.334559114500003</v>
      </c>
      <c r="G15" s="174">
        <v>64.570202959100001</v>
      </c>
      <c r="J15" s="174" t="s">
        <v>86</v>
      </c>
      <c r="K15" s="174">
        <v>7.9825306064000001</v>
      </c>
      <c r="L15" s="174">
        <v>0.38889440349999999</v>
      </c>
      <c r="M15" s="174">
        <v>2.8642188346999999</v>
      </c>
      <c r="N15" s="174">
        <v>0</v>
      </c>
      <c r="O15" s="174">
        <v>53.334559114500003</v>
      </c>
      <c r="P15" s="174">
        <v>64.570202959100001</v>
      </c>
    </row>
    <row r="16" spans="1:16" x14ac:dyDescent="0.25">
      <c r="A16" s="174" t="s">
        <v>87</v>
      </c>
      <c r="B16" s="174">
        <v>13.185381298999999</v>
      </c>
      <c r="C16" s="174">
        <v>1.609116515</v>
      </c>
      <c r="D16" s="174">
        <v>2.6207953926999998</v>
      </c>
      <c r="E16" s="174">
        <v>0</v>
      </c>
      <c r="F16" s="174">
        <v>34.429969794000002</v>
      </c>
      <c r="G16" s="174">
        <v>51.845263000700001</v>
      </c>
      <c r="J16" s="174" t="s">
        <v>87</v>
      </c>
      <c r="K16" s="174">
        <v>13.185381298999999</v>
      </c>
      <c r="L16" s="174">
        <v>1.609116515</v>
      </c>
      <c r="M16" s="174">
        <v>2.6207953926999998</v>
      </c>
      <c r="N16" s="174">
        <v>0</v>
      </c>
      <c r="O16" s="174">
        <v>34.429969794000002</v>
      </c>
      <c r="P16" s="174">
        <v>51.845263000700001</v>
      </c>
    </row>
    <row r="17" spans="1:16" x14ac:dyDescent="0.25">
      <c r="A17" s="174" t="s">
        <v>88</v>
      </c>
      <c r="B17" s="174">
        <v>34.943472795799998</v>
      </c>
      <c r="C17" s="174">
        <v>23.917162142700001</v>
      </c>
      <c r="D17" s="174">
        <v>15.784114643900001</v>
      </c>
      <c r="E17" s="174">
        <v>0</v>
      </c>
      <c r="F17" s="174">
        <v>35.532527246199997</v>
      </c>
      <c r="G17" s="174">
        <v>110.1772768286</v>
      </c>
      <c r="J17" s="174" t="s">
        <v>88</v>
      </c>
      <c r="K17" s="174">
        <v>34.943472795799998</v>
      </c>
      <c r="L17" s="174">
        <v>23.917162142700001</v>
      </c>
      <c r="M17" s="174">
        <v>15.784114643900001</v>
      </c>
      <c r="N17" s="174">
        <v>0</v>
      </c>
      <c r="O17" s="174">
        <v>35.532527246199997</v>
      </c>
      <c r="P17" s="174">
        <v>110.1772768286</v>
      </c>
    </row>
    <row r="18" spans="1:16" x14ac:dyDescent="0.25">
      <c r="A18" s="174" t="s">
        <v>89</v>
      </c>
      <c r="B18" s="174">
        <v>0.85257532540000003</v>
      </c>
      <c r="C18" s="174">
        <v>0</v>
      </c>
      <c r="D18" s="174">
        <v>5.0185230513999999</v>
      </c>
      <c r="E18" s="174">
        <v>0</v>
      </c>
      <c r="F18" s="174">
        <v>19.422587253</v>
      </c>
      <c r="G18" s="174">
        <v>25.293685629799999</v>
      </c>
      <c r="J18" s="174" t="s">
        <v>89</v>
      </c>
      <c r="K18" s="174">
        <v>0.85257532540000003</v>
      </c>
      <c r="L18" s="174">
        <v>0</v>
      </c>
      <c r="M18" s="174">
        <v>5.0185230513999999</v>
      </c>
      <c r="N18" s="174">
        <v>0</v>
      </c>
      <c r="O18" s="174">
        <v>19.422587253</v>
      </c>
      <c r="P18" s="174">
        <v>25.293685629799999</v>
      </c>
    </row>
    <row r="19" spans="1:16" x14ac:dyDescent="0.25">
      <c r="A19" s="174" t="s">
        <v>90</v>
      </c>
      <c r="B19" s="174">
        <v>17.0044677956</v>
      </c>
      <c r="C19" s="174">
        <v>6.5298094423000004</v>
      </c>
      <c r="D19" s="174">
        <v>2.3192763127</v>
      </c>
      <c r="E19" s="174">
        <v>0</v>
      </c>
      <c r="F19" s="174">
        <v>42.780920561999999</v>
      </c>
      <c r="G19" s="174">
        <v>68.634474112600003</v>
      </c>
      <c r="J19" s="174" t="s">
        <v>90</v>
      </c>
      <c r="K19" s="174">
        <v>17.0044677956</v>
      </c>
      <c r="L19" s="174">
        <v>6.5298094423000004</v>
      </c>
      <c r="M19" s="174">
        <v>2.3192763127</v>
      </c>
      <c r="N19" s="174">
        <v>0</v>
      </c>
      <c r="O19" s="174">
        <v>42.780920561999999</v>
      </c>
      <c r="P19" s="174">
        <v>68.634474112600003</v>
      </c>
    </row>
    <row r="20" spans="1:16" x14ac:dyDescent="0.25">
      <c r="A20" s="174" t="s">
        <v>91</v>
      </c>
      <c r="B20" s="174">
        <v>3.8698240282</v>
      </c>
      <c r="C20" s="174">
        <v>0</v>
      </c>
      <c r="D20" s="174">
        <v>0.75161361360000001</v>
      </c>
      <c r="E20" s="174">
        <v>0</v>
      </c>
      <c r="F20" s="174">
        <v>43.766701763900002</v>
      </c>
      <c r="G20" s="174">
        <v>48.388139405700002</v>
      </c>
      <c r="J20" s="174" t="s">
        <v>91</v>
      </c>
      <c r="K20" s="174">
        <v>3.8698240282</v>
      </c>
      <c r="L20" s="174">
        <v>0</v>
      </c>
      <c r="M20" s="174">
        <v>0.75161361360000001</v>
      </c>
      <c r="N20" s="174">
        <v>0</v>
      </c>
      <c r="O20" s="174">
        <v>43.766701763900002</v>
      </c>
      <c r="P20" s="174">
        <v>48.388139405700002</v>
      </c>
    </row>
    <row r="21" spans="1:16" x14ac:dyDescent="0.25">
      <c r="A21" s="174" t="s">
        <v>92</v>
      </c>
      <c r="B21" s="174">
        <v>1.6280300503</v>
      </c>
      <c r="C21" s="174">
        <v>0</v>
      </c>
      <c r="D21" s="174">
        <v>3.7097228186</v>
      </c>
      <c r="E21" s="174">
        <v>0.1148781276</v>
      </c>
      <c r="F21" s="174">
        <v>3.6378683855</v>
      </c>
      <c r="G21" s="174">
        <v>9.0904988498999995</v>
      </c>
      <c r="J21" s="174" t="s">
        <v>92</v>
      </c>
      <c r="K21" s="174">
        <v>1.6280300503</v>
      </c>
      <c r="L21" s="174">
        <v>0</v>
      </c>
      <c r="M21" s="174">
        <v>3.7097228186</v>
      </c>
      <c r="N21" s="174">
        <v>0.1148781276</v>
      </c>
      <c r="O21" s="174">
        <v>3.6378683855</v>
      </c>
      <c r="P21" s="174">
        <v>9.0904988498999995</v>
      </c>
    </row>
    <row r="22" spans="1:16" x14ac:dyDescent="0.25">
      <c r="A22" s="174" t="s">
        <v>93</v>
      </c>
      <c r="B22" s="174">
        <v>9.9995299541999998</v>
      </c>
      <c r="C22" s="174">
        <v>0.78470949160000003</v>
      </c>
      <c r="D22" s="174">
        <v>2.3862335559000001</v>
      </c>
      <c r="E22" s="174">
        <v>0</v>
      </c>
      <c r="F22" s="174">
        <v>21.3307120011</v>
      </c>
      <c r="G22" s="174">
        <v>34.501185002699998</v>
      </c>
      <c r="J22" s="174" t="s">
        <v>93</v>
      </c>
      <c r="K22" s="174">
        <v>9.9995299541999998</v>
      </c>
      <c r="L22" s="174">
        <v>0.78470949160000003</v>
      </c>
      <c r="M22" s="174">
        <v>2.3862335559000001</v>
      </c>
      <c r="N22" s="174">
        <v>0</v>
      </c>
      <c r="O22" s="174">
        <v>21.3307120011</v>
      </c>
      <c r="P22" s="174">
        <v>34.501185002699998</v>
      </c>
    </row>
    <row r="23" spans="1:16" x14ac:dyDescent="0.25">
      <c r="A23" s="174" t="s">
        <v>94</v>
      </c>
      <c r="B23" s="174">
        <v>0</v>
      </c>
      <c r="C23" s="174">
        <v>0</v>
      </c>
      <c r="D23" s="174">
        <v>75.968109165000001</v>
      </c>
      <c r="E23" s="174">
        <v>0</v>
      </c>
      <c r="F23" s="174">
        <v>6.8411873777999999</v>
      </c>
      <c r="G23" s="174">
        <v>82.809296542799999</v>
      </c>
      <c r="J23" s="174" t="s">
        <v>94</v>
      </c>
      <c r="K23" s="174">
        <v>0</v>
      </c>
      <c r="L23" s="174">
        <v>0</v>
      </c>
      <c r="M23" s="174">
        <v>75.968109165000001</v>
      </c>
      <c r="N23" s="174">
        <v>0</v>
      </c>
      <c r="O23" s="174">
        <v>6.8411873777999999</v>
      </c>
      <c r="P23" s="174">
        <v>82.809296542799999</v>
      </c>
    </row>
    <row r="24" spans="1:16" x14ac:dyDescent="0.25">
      <c r="A24" s="174" t="s">
        <v>95</v>
      </c>
      <c r="B24" s="174">
        <v>21.806592587600001</v>
      </c>
      <c r="C24" s="174">
        <v>7.8898823635999999</v>
      </c>
      <c r="D24" s="174">
        <v>3.5104392953999999</v>
      </c>
      <c r="E24" s="174">
        <v>0</v>
      </c>
      <c r="F24" s="174">
        <v>20.957082038599999</v>
      </c>
      <c r="G24" s="174">
        <v>54.163996285099998</v>
      </c>
      <c r="J24" s="174" t="s">
        <v>95</v>
      </c>
      <c r="K24" s="174">
        <v>21.806592587600001</v>
      </c>
      <c r="L24" s="174">
        <v>7.8898823635999999</v>
      </c>
      <c r="M24" s="174">
        <v>3.5104392953999999</v>
      </c>
      <c r="N24" s="174">
        <v>0</v>
      </c>
      <c r="O24" s="174">
        <v>20.957082038599999</v>
      </c>
      <c r="P24" s="174">
        <v>54.163996285099998</v>
      </c>
    </row>
    <row r="25" spans="1:16" x14ac:dyDescent="0.25">
      <c r="A25" s="174" t="s">
        <v>96</v>
      </c>
      <c r="B25" s="174">
        <v>0</v>
      </c>
      <c r="C25" s="174">
        <v>0.45754462280000002</v>
      </c>
      <c r="D25" s="174">
        <v>0</v>
      </c>
      <c r="E25" s="174">
        <v>0</v>
      </c>
      <c r="F25" s="174">
        <v>0</v>
      </c>
      <c r="G25" s="174">
        <v>0.45754462280000002</v>
      </c>
      <c r="J25" s="174" t="s">
        <v>96</v>
      </c>
      <c r="K25" s="174">
        <v>0</v>
      </c>
      <c r="L25" s="174">
        <v>0.45754462280000002</v>
      </c>
      <c r="M25" s="174">
        <v>0</v>
      </c>
      <c r="N25" s="174">
        <v>0</v>
      </c>
      <c r="O25" s="174">
        <v>0</v>
      </c>
      <c r="P25" s="174">
        <v>0.45754462280000002</v>
      </c>
    </row>
    <row r="26" spans="1:16" x14ac:dyDescent="0.25">
      <c r="A26" s="174" t="s">
        <v>97</v>
      </c>
      <c r="B26" s="174">
        <v>51.733457499700002</v>
      </c>
      <c r="C26" s="174">
        <v>15.091987551900001</v>
      </c>
      <c r="D26" s="174">
        <v>20.136566434599999</v>
      </c>
      <c r="E26" s="174">
        <v>0</v>
      </c>
      <c r="F26" s="174">
        <v>172.20118070289999</v>
      </c>
      <c r="G26" s="174">
        <v>259.16319218899997</v>
      </c>
      <c r="J26" s="174" t="s">
        <v>97</v>
      </c>
      <c r="K26" s="174">
        <v>51.733457499700002</v>
      </c>
      <c r="L26" s="174">
        <v>15.091987551900001</v>
      </c>
      <c r="M26" s="174">
        <v>20.136566434599999</v>
      </c>
      <c r="N26" s="174">
        <v>0</v>
      </c>
      <c r="O26" s="174">
        <v>172.20118070289999</v>
      </c>
      <c r="P26" s="174">
        <v>259.16319218899997</v>
      </c>
    </row>
    <row r="27" spans="1:16" x14ac:dyDescent="0.25">
      <c r="A27" s="174" t="s">
        <v>98</v>
      </c>
      <c r="B27" s="174">
        <v>11.060173409200001</v>
      </c>
      <c r="C27" s="174">
        <v>8.8317522596</v>
      </c>
      <c r="D27" s="174">
        <v>15.9044742056</v>
      </c>
      <c r="E27" s="174">
        <v>0</v>
      </c>
      <c r="F27" s="174">
        <v>17.269696326599998</v>
      </c>
      <c r="G27" s="174">
        <v>53.0660960903</v>
      </c>
      <c r="J27" s="174" t="s">
        <v>98</v>
      </c>
      <c r="K27" s="174">
        <v>11.060173409200001</v>
      </c>
      <c r="L27" s="174">
        <v>8.8317522596</v>
      </c>
      <c r="M27" s="174">
        <v>15.9044742056</v>
      </c>
      <c r="N27" s="174">
        <v>0</v>
      </c>
      <c r="O27" s="174">
        <v>17.269696326599998</v>
      </c>
      <c r="P27" s="174">
        <v>53.0660960903</v>
      </c>
    </row>
    <row r="28" spans="1:16" x14ac:dyDescent="0.25">
      <c r="A28" s="174" t="s">
        <v>99</v>
      </c>
      <c r="B28" s="174">
        <v>7.2915608923999997</v>
      </c>
      <c r="C28" s="174">
        <v>4.8559236009999998</v>
      </c>
      <c r="D28" s="174">
        <v>8.8622406299999998E-2</v>
      </c>
      <c r="E28" s="174">
        <v>0</v>
      </c>
      <c r="F28" s="174">
        <v>31.122481308499999</v>
      </c>
      <c r="G28" s="174">
        <v>43.358588208299999</v>
      </c>
      <c r="J28" s="174" t="s">
        <v>99</v>
      </c>
      <c r="K28" s="174">
        <v>7.2915608923999997</v>
      </c>
      <c r="L28" s="174">
        <v>4.8559236009999998</v>
      </c>
      <c r="M28" s="174">
        <v>8.8622406299999998E-2</v>
      </c>
      <c r="N28" s="174">
        <v>0</v>
      </c>
      <c r="O28" s="174">
        <v>31.122481308499999</v>
      </c>
      <c r="P28" s="174">
        <v>43.358588208299999</v>
      </c>
    </row>
    <row r="29" spans="1:16" x14ac:dyDescent="0.25">
      <c r="A29" s="174" t="s">
        <v>100</v>
      </c>
      <c r="B29" s="174">
        <v>22.972228600699999</v>
      </c>
      <c r="C29" s="174">
        <v>2.4828604264999998</v>
      </c>
      <c r="D29" s="174">
        <v>4.2369995511000003</v>
      </c>
      <c r="E29" s="174">
        <v>0</v>
      </c>
      <c r="F29" s="174">
        <v>13.2742393092</v>
      </c>
      <c r="G29" s="174">
        <v>42.966327887600002</v>
      </c>
      <c r="J29" s="174" t="s">
        <v>100</v>
      </c>
      <c r="K29" s="174">
        <v>22.972228600699999</v>
      </c>
      <c r="L29" s="174">
        <v>2.4828604264999998</v>
      </c>
      <c r="M29" s="174">
        <v>4.2369995511000003</v>
      </c>
      <c r="N29" s="174">
        <v>0</v>
      </c>
      <c r="O29" s="174">
        <v>13.2742393092</v>
      </c>
      <c r="P29" s="174">
        <v>42.966327887600002</v>
      </c>
    </row>
    <row r="30" spans="1:16" x14ac:dyDescent="0.25">
      <c r="A30" s="174" t="s">
        <v>101</v>
      </c>
      <c r="B30" s="174">
        <v>3.8268996166</v>
      </c>
      <c r="C30" s="174">
        <v>1.3981790274000001</v>
      </c>
      <c r="D30" s="174">
        <v>4.3286390709000004</v>
      </c>
      <c r="E30" s="174">
        <v>0</v>
      </c>
      <c r="F30" s="174">
        <v>15.044653117599999</v>
      </c>
      <c r="G30" s="174">
        <v>24.59837078</v>
      </c>
      <c r="J30" s="174" t="s">
        <v>101</v>
      </c>
      <c r="K30" s="174">
        <v>3.8268996166</v>
      </c>
      <c r="L30" s="174">
        <v>1.3981790274000001</v>
      </c>
      <c r="M30" s="174">
        <v>4.3286390709000004</v>
      </c>
      <c r="N30" s="174">
        <v>0</v>
      </c>
      <c r="O30" s="174">
        <v>15.044653117599999</v>
      </c>
      <c r="P30" s="174">
        <v>24.59837078</v>
      </c>
    </row>
    <row r="31" spans="1:16" x14ac:dyDescent="0.25">
      <c r="A31" s="174" t="s">
        <v>102</v>
      </c>
      <c r="B31" s="174">
        <v>5.3541865917999996</v>
      </c>
      <c r="C31" s="174">
        <v>2.6919585279999998</v>
      </c>
      <c r="D31" s="174">
        <v>0.73454506369999994</v>
      </c>
      <c r="E31" s="174">
        <v>6.402421125</v>
      </c>
      <c r="F31" s="174">
        <v>10.6844270755</v>
      </c>
      <c r="G31" s="174">
        <v>25.867538383999999</v>
      </c>
      <c r="J31" s="174" t="s">
        <v>102</v>
      </c>
      <c r="K31" s="174">
        <v>5.3541865917999996</v>
      </c>
      <c r="L31" s="174">
        <v>2.6919585279999998</v>
      </c>
      <c r="M31" s="174">
        <v>0.73454506369999994</v>
      </c>
      <c r="N31" s="174">
        <v>6.402421125</v>
      </c>
      <c r="O31" s="174">
        <v>10.6844270755</v>
      </c>
      <c r="P31" s="174">
        <v>25.867538383999999</v>
      </c>
    </row>
    <row r="32" spans="1:16" x14ac:dyDescent="0.25">
      <c r="A32" s="174" t="s">
        <v>103</v>
      </c>
      <c r="B32" s="174">
        <v>11.2913288383</v>
      </c>
      <c r="C32" s="174">
        <v>1.1201908703000001</v>
      </c>
      <c r="D32" s="174">
        <v>0.81805354880000003</v>
      </c>
      <c r="E32" s="174">
        <v>0</v>
      </c>
      <c r="F32" s="174">
        <v>12.416359767499999</v>
      </c>
      <c r="G32" s="174">
        <v>25.6459328408</v>
      </c>
      <c r="J32" s="174" t="s">
        <v>103</v>
      </c>
      <c r="K32" s="174">
        <v>11.2913288383</v>
      </c>
      <c r="L32" s="174">
        <v>1.1201908703000001</v>
      </c>
      <c r="M32" s="174">
        <v>0.81805354880000003</v>
      </c>
      <c r="N32" s="174">
        <v>0</v>
      </c>
      <c r="O32" s="174">
        <v>12.416359767499999</v>
      </c>
      <c r="P32" s="174">
        <v>25.6459328408</v>
      </c>
    </row>
    <row r="33" spans="1:16" x14ac:dyDescent="0.25">
      <c r="A33" s="174" t="s">
        <v>104</v>
      </c>
      <c r="B33" s="174">
        <v>5099.2083664351003</v>
      </c>
      <c r="C33" s="174">
        <v>14.2961635361</v>
      </c>
      <c r="D33" s="174">
        <v>13.8804047295</v>
      </c>
      <c r="E33" s="174">
        <v>3.2396790100000003E-2</v>
      </c>
      <c r="F33" s="174">
        <v>152.1852930812</v>
      </c>
      <c r="G33" s="174">
        <v>5279.6026245720004</v>
      </c>
      <c r="J33" s="174" t="s">
        <v>104</v>
      </c>
      <c r="K33" s="174">
        <v>5099.2083664351003</v>
      </c>
      <c r="L33" s="174">
        <v>14.2961635361</v>
      </c>
      <c r="M33" s="174">
        <v>13.8804047295</v>
      </c>
      <c r="N33" s="174">
        <v>3.2396790100000003E-2</v>
      </c>
      <c r="O33" s="174">
        <v>152.1852930812</v>
      </c>
      <c r="P33" s="174">
        <v>5279.6026245720004</v>
      </c>
    </row>
    <row r="34" spans="1:16" x14ac:dyDescent="0.25">
      <c r="A34" s="174" t="s">
        <v>105</v>
      </c>
      <c r="B34" s="174">
        <v>347.68678778679998</v>
      </c>
      <c r="C34" s="174">
        <v>2.2057957607000001</v>
      </c>
      <c r="D34" s="174">
        <v>49.860917497300001</v>
      </c>
      <c r="E34" s="174">
        <v>20.2917132842</v>
      </c>
      <c r="F34" s="174">
        <v>207.11609610470001</v>
      </c>
      <c r="G34" s="174">
        <v>627.16131043359997</v>
      </c>
      <c r="J34" s="174" t="s">
        <v>105</v>
      </c>
      <c r="K34" s="174">
        <v>347.68678778679998</v>
      </c>
      <c r="L34" s="174">
        <v>2.2057957607000001</v>
      </c>
      <c r="M34" s="174">
        <v>49.860917497300001</v>
      </c>
      <c r="N34" s="174">
        <v>20.2917132842</v>
      </c>
      <c r="O34" s="174">
        <v>207.11609610470001</v>
      </c>
      <c r="P34" s="174">
        <v>627.16131043359997</v>
      </c>
    </row>
    <row r="35" spans="1:16" x14ac:dyDescent="0.25">
      <c r="A35" s="174" t="s">
        <v>146</v>
      </c>
      <c r="J35" s="174" t="s">
        <v>146</v>
      </c>
    </row>
    <row r="36" spans="1:16" x14ac:dyDescent="0.25">
      <c r="A36" s="174" t="s">
        <v>106</v>
      </c>
      <c r="J36" s="174" t="s">
        <v>106</v>
      </c>
    </row>
    <row r="37" spans="1:16" x14ac:dyDescent="0.25">
      <c r="A37" s="174" t="s">
        <v>107</v>
      </c>
      <c r="J37" s="174" t="s">
        <v>107</v>
      </c>
    </row>
    <row r="38" spans="1:16" x14ac:dyDescent="0.25">
      <c r="A38" s="174" t="s">
        <v>108</v>
      </c>
      <c r="B38" s="174">
        <v>160.6678752391</v>
      </c>
      <c r="C38" s="174">
        <v>4.9865066361999997</v>
      </c>
      <c r="D38" s="174">
        <v>46.009557776500003</v>
      </c>
      <c r="E38" s="174">
        <v>0</v>
      </c>
      <c r="F38" s="174">
        <v>53.553454042799999</v>
      </c>
      <c r="G38" s="174">
        <v>265.2173936945</v>
      </c>
      <c r="J38" s="174" t="s">
        <v>108</v>
      </c>
      <c r="K38" s="174">
        <v>160.6678752391</v>
      </c>
      <c r="L38" s="174">
        <v>4.9865066361999997</v>
      </c>
      <c r="M38" s="174">
        <v>46.009557776500003</v>
      </c>
      <c r="N38" s="174">
        <v>0</v>
      </c>
      <c r="O38" s="174">
        <v>53.553454042799999</v>
      </c>
      <c r="P38" s="174">
        <v>265.2173936945</v>
      </c>
    </row>
    <row r="39" spans="1:16" x14ac:dyDescent="0.25">
      <c r="A39" s="174" t="s">
        <v>145</v>
      </c>
      <c r="J39" s="174" t="s">
        <v>145</v>
      </c>
    </row>
    <row r="40" spans="1:16" x14ac:dyDescent="0.25">
      <c r="A40" s="174" t="s">
        <v>113</v>
      </c>
      <c r="B40" s="174">
        <v>1.6678053597</v>
      </c>
      <c r="C40" s="174">
        <v>3.3016787E-3</v>
      </c>
      <c r="D40" s="174">
        <v>2.0777406299999999E-2</v>
      </c>
      <c r="E40" s="174">
        <v>0</v>
      </c>
      <c r="F40" s="174">
        <v>0.37931654669999998</v>
      </c>
      <c r="G40" s="174">
        <v>2.0712009914</v>
      </c>
      <c r="J40" s="174" t="s">
        <v>113</v>
      </c>
      <c r="K40" s="174">
        <v>1.6678053597</v>
      </c>
      <c r="L40" s="174">
        <v>3.3016787E-3</v>
      </c>
      <c r="M40" s="174">
        <v>2.0777406299999999E-2</v>
      </c>
      <c r="N40" s="174">
        <v>0</v>
      </c>
      <c r="O40" s="174">
        <v>0.37931654669999998</v>
      </c>
      <c r="P40" s="174">
        <v>2.0712009914</v>
      </c>
    </row>
    <row r="41" spans="1:16" x14ac:dyDescent="0.25">
      <c r="A41" s="174" t="s">
        <v>110</v>
      </c>
      <c r="B41" s="174">
        <v>219.8270629287</v>
      </c>
      <c r="C41" s="174">
        <v>0.41897777730000002</v>
      </c>
      <c r="D41" s="174">
        <v>0</v>
      </c>
      <c r="E41" s="174">
        <v>0</v>
      </c>
      <c r="F41" s="174">
        <v>3.1338213526000001</v>
      </c>
      <c r="G41" s="174">
        <v>223.37986205870001</v>
      </c>
      <c r="J41" s="174" t="s">
        <v>110</v>
      </c>
      <c r="K41" s="174">
        <v>219.8270629287</v>
      </c>
      <c r="L41" s="174">
        <v>0.41897777730000002</v>
      </c>
      <c r="M41" s="174">
        <v>0</v>
      </c>
      <c r="N41" s="174">
        <v>0</v>
      </c>
      <c r="O41" s="174">
        <v>3.1338213526000001</v>
      </c>
      <c r="P41" s="174">
        <v>223.37986205870001</v>
      </c>
    </row>
    <row r="42" spans="1:16" x14ac:dyDescent="0.25">
      <c r="A42" s="174" t="s">
        <v>114</v>
      </c>
      <c r="J42" s="174" t="s">
        <v>114</v>
      </c>
    </row>
    <row r="43" spans="1:16" x14ac:dyDescent="0.25">
      <c r="A43" s="174" t="s">
        <v>109</v>
      </c>
      <c r="B43" s="174">
        <v>431.27145817569999</v>
      </c>
      <c r="C43" s="174">
        <v>0</v>
      </c>
      <c r="D43" s="174">
        <v>0</v>
      </c>
      <c r="E43" s="174">
        <v>0</v>
      </c>
      <c r="F43" s="174">
        <v>37.620566795599998</v>
      </c>
      <c r="G43" s="174">
        <v>468.89202497129997</v>
      </c>
      <c r="J43" s="174" t="s">
        <v>109</v>
      </c>
      <c r="K43" s="174">
        <v>431.27145817569999</v>
      </c>
      <c r="L43" s="174">
        <v>0</v>
      </c>
      <c r="M43" s="174">
        <v>0</v>
      </c>
      <c r="N43" s="174">
        <v>0</v>
      </c>
      <c r="O43" s="174">
        <v>37.620566795599998</v>
      </c>
      <c r="P43" s="174">
        <v>468.89202497129997</v>
      </c>
    </row>
    <row r="44" spans="1:16" x14ac:dyDescent="0.25">
      <c r="A44" s="174" t="s">
        <v>111</v>
      </c>
      <c r="B44" s="174">
        <v>4422.9585100856002</v>
      </c>
      <c r="C44" s="174">
        <v>0</v>
      </c>
      <c r="D44" s="174">
        <v>0.96715165349999999</v>
      </c>
      <c r="E44" s="174">
        <v>0</v>
      </c>
      <c r="F44" s="174">
        <v>5.1548557251</v>
      </c>
      <c r="G44" s="174">
        <v>4429.0805174642001</v>
      </c>
      <c r="J44" s="174" t="s">
        <v>111</v>
      </c>
      <c r="K44" s="174">
        <v>4422.9585100856002</v>
      </c>
      <c r="L44" s="174">
        <v>0</v>
      </c>
      <c r="M44" s="174">
        <v>0.96715165349999999</v>
      </c>
      <c r="N44" s="174">
        <v>0</v>
      </c>
      <c r="O44" s="174">
        <v>5.1548557251</v>
      </c>
      <c r="P44" s="174">
        <v>4429.0805174642001</v>
      </c>
    </row>
    <row r="45" spans="1:16" x14ac:dyDescent="0.25">
      <c r="A45" s="174" t="s">
        <v>112</v>
      </c>
      <c r="B45" s="174">
        <v>379.94216692129999</v>
      </c>
      <c r="C45" s="174">
        <v>0.73517785309999995</v>
      </c>
      <c r="D45" s="174">
        <v>7.0722462377999999</v>
      </c>
      <c r="E45" s="174">
        <v>0</v>
      </c>
      <c r="F45" s="174">
        <v>20.305225659600001</v>
      </c>
      <c r="G45" s="174">
        <v>408.05481667179998</v>
      </c>
      <c r="J45" s="174" t="s">
        <v>112</v>
      </c>
      <c r="K45" s="174">
        <v>379.94216692129999</v>
      </c>
      <c r="L45" s="174">
        <v>0.73517785309999995</v>
      </c>
      <c r="M45" s="174">
        <v>7.0722462377999999</v>
      </c>
      <c r="N45" s="174">
        <v>0</v>
      </c>
      <c r="O45" s="174">
        <v>20.305225659600001</v>
      </c>
      <c r="P45" s="174">
        <v>408.05481667179998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Table_1</vt:lpstr>
      <vt:lpstr>Figure 1</vt:lpstr>
      <vt:lpstr>Figure 2</vt:lpstr>
      <vt:lpstr>Figure_3</vt:lpstr>
      <vt:lpstr>Table_2</vt:lpstr>
      <vt:lpstr>Figure_4</vt:lpstr>
      <vt:lpstr>Figure_5</vt:lpstr>
      <vt:lpstr>Figure_6</vt:lpstr>
      <vt:lpstr>Figure_7</vt:lpstr>
      <vt:lpstr>Figure_8</vt:lpstr>
      <vt:lpstr>Sheet1</vt:lpstr>
      <vt:lpstr>'Figure 1'!Print_Area</vt:lpstr>
      <vt:lpstr>Figure_3!Print_Area</vt:lpstr>
      <vt:lpstr>Table_2!Print_Area</vt:lpstr>
    </vt:vector>
  </TitlesOfParts>
  <Company>INFORMA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INFORMA</dc:creator>
  <dc:description/>
  <cp:lastModifiedBy>CHALLINOR Vanessa (ESTAT-EXT)</cp:lastModifiedBy>
  <cp:revision>1</cp:revision>
  <cp:lastPrinted>2018-12-03T14:20:27Z</cp:lastPrinted>
  <dcterms:created xsi:type="dcterms:W3CDTF">2011-04-21T08:02:15Z</dcterms:created>
  <dcterms:modified xsi:type="dcterms:W3CDTF">2026-02-05T15:18:01Z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INFORMA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NewReviewCycle">
    <vt:lpwstr/>
  </property>
  <property fmtid="{D5CDD505-2E9C-101B-9397-08002B2CF9AE}" pid="10" name="MSIP_Label_6bd9ddd1-4d20-43f6-abfa-fc3c07406f94_Enabled">
    <vt:lpwstr>true</vt:lpwstr>
  </property>
  <property fmtid="{D5CDD505-2E9C-101B-9397-08002B2CF9AE}" pid="11" name="MSIP_Label_6bd9ddd1-4d20-43f6-abfa-fc3c07406f94_SetDate">
    <vt:lpwstr>2024-09-18T06:26:09Z</vt:lpwstr>
  </property>
  <property fmtid="{D5CDD505-2E9C-101B-9397-08002B2CF9AE}" pid="12" name="MSIP_Label_6bd9ddd1-4d20-43f6-abfa-fc3c07406f94_Method">
    <vt:lpwstr>Standard</vt:lpwstr>
  </property>
  <property fmtid="{D5CDD505-2E9C-101B-9397-08002B2CF9AE}" pid="13" name="MSIP_Label_6bd9ddd1-4d20-43f6-abfa-fc3c07406f94_Name">
    <vt:lpwstr>Commission Use</vt:lpwstr>
  </property>
  <property fmtid="{D5CDD505-2E9C-101B-9397-08002B2CF9AE}" pid="14" name="MSIP_Label_6bd9ddd1-4d20-43f6-abfa-fc3c07406f94_SiteId">
    <vt:lpwstr>b24c8b06-522c-46fe-9080-70926f8dddb1</vt:lpwstr>
  </property>
  <property fmtid="{D5CDD505-2E9C-101B-9397-08002B2CF9AE}" pid="15" name="MSIP_Label_6bd9ddd1-4d20-43f6-abfa-fc3c07406f94_ActionId">
    <vt:lpwstr>ca0356d9-1954-41d3-a8d5-beacc5b7a53d</vt:lpwstr>
  </property>
  <property fmtid="{D5CDD505-2E9C-101B-9397-08002B2CF9AE}" pid="16" name="MSIP_Label_6bd9ddd1-4d20-43f6-abfa-fc3c07406f94_ContentBits">
    <vt:lpwstr>0</vt:lpwstr>
  </property>
</Properties>
</file>