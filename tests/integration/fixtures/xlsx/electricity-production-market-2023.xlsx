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drawings/drawing8.xml" ContentType="application/vnd.openxmlformats-officedocument.drawingml.chartshapes+xml"/>
  <Override PartName="/xl/drawings/drawing9.xml" ContentType="application/vnd.openxmlformats-officedocument.drawing+xml"/>
  <Override PartName="/xl/charts/chart5.xml" ContentType="application/vnd.openxmlformats-officedocument.drawingml.chart+xml"/>
  <Override PartName="/xl/drawings/drawing10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U:\Energy\Dissemination\Statistics Explained articles\Electricity production, consumption and market overview\2025\"/>
    </mc:Choice>
  </mc:AlternateContent>
  <xr:revisionPtr revIDLastSave="0" documentId="13_ncr:1_{5A6E2EDA-758D-48D0-84BD-2CA6FB154E96}" xr6:coauthVersionLast="47" xr6:coauthVersionMax="47" xr10:uidLastSave="{00000000-0000-0000-0000-000000000000}"/>
  <bookViews>
    <workbookView xWindow="-120" yWindow="-120" windowWidth="29040" windowHeight="15720" tabRatio="679" activeTab="5" xr2:uid="{00000000-000D-0000-FFFF-FFFF00000000}"/>
  </bookViews>
  <sheets>
    <sheet name="Tables &amp; Figures" sheetId="109" r:id="rId1"/>
    <sheet name="Figure 1" sheetId="107" r:id="rId2"/>
    <sheet name="Figure 2" sheetId="108" r:id="rId3"/>
    <sheet name="Figure 3" sheetId="101" r:id="rId4"/>
    <sheet name="Figure 4" sheetId="94" r:id="rId5"/>
    <sheet name="Figure 5" sheetId="10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3" i="106" l="1"/>
  <c r="H75" i="101"/>
  <c r="G177" i="108"/>
  <c r="BF293" i="108"/>
  <c r="F153" i="94"/>
  <c r="G153" i="94" s="1"/>
  <c r="F154" i="94"/>
  <c r="G154" i="94" s="1"/>
  <c r="F103" i="94"/>
  <c r="G103" i="94" s="1"/>
  <c r="F104" i="94"/>
  <c r="G104" i="94" s="1"/>
  <c r="F97" i="94"/>
  <c r="F98" i="94"/>
  <c r="F99" i="94"/>
  <c r="F100" i="94"/>
  <c r="F101" i="94"/>
  <c r="F102" i="94"/>
  <c r="F11" i="101"/>
  <c r="G257" i="108" l="1"/>
  <c r="G258" i="108"/>
  <c r="G259" i="108"/>
  <c r="G214" i="108"/>
  <c r="G213" i="108"/>
  <c r="E98" i="107"/>
  <c r="E99" i="107"/>
  <c r="E100" i="107"/>
  <c r="E101" i="107"/>
  <c r="E102" i="107"/>
  <c r="E103" i="107"/>
  <c r="E104" i="107"/>
  <c r="E105" i="107"/>
  <c r="E106" i="107"/>
  <c r="E107" i="107"/>
  <c r="E108" i="107"/>
  <c r="E109" i="107"/>
  <c r="E110" i="107"/>
  <c r="E111" i="107"/>
  <c r="E112" i="107"/>
  <c r="E113" i="107"/>
  <c r="E114" i="107"/>
  <c r="E115" i="107"/>
  <c r="E116" i="107"/>
  <c r="E117" i="107"/>
  <c r="E118" i="107"/>
  <c r="E119" i="107"/>
  <c r="E120" i="107"/>
  <c r="E121" i="107"/>
  <c r="E122" i="107"/>
  <c r="E123" i="107"/>
  <c r="E97" i="107"/>
  <c r="V12" i="107" l="1"/>
  <c r="J75" i="101"/>
  <c r="G96" i="107"/>
  <c r="H96" i="107" s="1"/>
  <c r="F68" i="94"/>
  <c r="G68" i="94" s="1"/>
  <c r="F69" i="94"/>
  <c r="G69" i="94" s="1"/>
  <c r="F70" i="94"/>
  <c r="G70" i="94" s="1"/>
  <c r="F71" i="94"/>
  <c r="G71" i="94" s="1"/>
  <c r="F72" i="94"/>
  <c r="G72" i="94" s="1"/>
  <c r="F73" i="94"/>
  <c r="G73" i="94" s="1"/>
  <c r="F74" i="94"/>
  <c r="G74" i="94" s="1"/>
  <c r="F75" i="94"/>
  <c r="G75" i="94" s="1"/>
  <c r="F76" i="94"/>
  <c r="G76" i="94" s="1"/>
  <c r="F77" i="94"/>
  <c r="G77" i="94" s="1"/>
  <c r="F78" i="94"/>
  <c r="G78" i="94" s="1"/>
  <c r="F79" i="94"/>
  <c r="G79" i="94" s="1"/>
  <c r="F80" i="94"/>
  <c r="G80" i="94" s="1"/>
  <c r="F81" i="94"/>
  <c r="G81" i="94" s="1"/>
  <c r="F82" i="94"/>
  <c r="G82" i="94" s="1"/>
  <c r="F83" i="94"/>
  <c r="G83" i="94" s="1"/>
  <c r="F84" i="94"/>
  <c r="G84" i="94" s="1"/>
  <c r="F85" i="94"/>
  <c r="G85" i="94" s="1"/>
  <c r="F86" i="94"/>
  <c r="G86" i="94"/>
  <c r="F87" i="94"/>
  <c r="G87" i="94" s="1"/>
  <c r="F88" i="94"/>
  <c r="G88" i="94" s="1"/>
  <c r="F89" i="94"/>
  <c r="G89" i="94" s="1"/>
  <c r="F90" i="94"/>
  <c r="G90" i="94" s="1"/>
  <c r="F91" i="94"/>
  <c r="G91" i="94" s="1"/>
  <c r="F92" i="94"/>
  <c r="G92" i="94" s="1"/>
  <c r="F93" i="94"/>
  <c r="G93" i="94" s="1"/>
  <c r="F94" i="94"/>
  <c r="G94" i="94" s="1"/>
  <c r="F95" i="94"/>
  <c r="G95" i="94" s="1"/>
  <c r="F96" i="94"/>
  <c r="G96" i="94" s="1"/>
  <c r="G97" i="94"/>
  <c r="G98" i="94"/>
  <c r="G99" i="94"/>
  <c r="G100" i="94"/>
  <c r="G101" i="94"/>
  <c r="G102" i="94"/>
  <c r="F118" i="94"/>
  <c r="G118" i="94" s="1"/>
  <c r="F119" i="94"/>
  <c r="G119" i="94" s="1"/>
  <c r="F120" i="94"/>
  <c r="G120" i="94" s="1"/>
  <c r="F121" i="94"/>
  <c r="G121" i="94" s="1"/>
  <c r="F122" i="94"/>
  <c r="G122" i="94"/>
  <c r="F123" i="94"/>
  <c r="G123" i="94" s="1"/>
  <c r="F124" i="94"/>
  <c r="G124" i="94" s="1"/>
  <c r="F125" i="94"/>
  <c r="G125" i="94" s="1"/>
  <c r="F126" i="94"/>
  <c r="G126" i="94" s="1"/>
  <c r="F127" i="94"/>
  <c r="G127" i="94" s="1"/>
  <c r="F128" i="94"/>
  <c r="G128" i="94" s="1"/>
  <c r="F129" i="94"/>
  <c r="G129" i="94" s="1"/>
  <c r="F130" i="94"/>
  <c r="G130" i="94" s="1"/>
  <c r="F131" i="94"/>
  <c r="G131" i="94" s="1"/>
  <c r="F132" i="94"/>
  <c r="G132" i="94" s="1"/>
  <c r="F133" i="94"/>
  <c r="G133" i="94"/>
  <c r="F134" i="94"/>
  <c r="G134" i="94"/>
  <c r="F135" i="94"/>
  <c r="G135" i="94" s="1"/>
  <c r="F136" i="94"/>
  <c r="G136" i="94" s="1"/>
  <c r="F137" i="94"/>
  <c r="G137" i="94"/>
  <c r="F138" i="94"/>
  <c r="G138" i="94" s="1"/>
  <c r="F139" i="94"/>
  <c r="G139" i="94" s="1"/>
  <c r="F140" i="94"/>
  <c r="G140" i="94" s="1"/>
  <c r="F141" i="94"/>
  <c r="G141" i="94" s="1"/>
  <c r="F142" i="94"/>
  <c r="G142" i="94" s="1"/>
  <c r="F143" i="94"/>
  <c r="G143" i="94" s="1"/>
  <c r="F144" i="94"/>
  <c r="G144" i="94" s="1"/>
  <c r="F145" i="94"/>
  <c r="G145" i="94" s="1"/>
  <c r="F146" i="94"/>
  <c r="G146" i="94" s="1"/>
  <c r="F147" i="94"/>
  <c r="G147" i="94" s="1"/>
  <c r="F148" i="94"/>
  <c r="G148" i="94" s="1"/>
  <c r="F149" i="94"/>
  <c r="G149" i="94" s="1"/>
  <c r="F150" i="94"/>
  <c r="G150" i="94" s="1"/>
  <c r="F151" i="94"/>
  <c r="G151" i="94" s="1"/>
  <c r="F152" i="94"/>
  <c r="G152" i="94" s="1"/>
  <c r="F17" i="106"/>
  <c r="F42" i="106"/>
  <c r="F41" i="106"/>
  <c r="F40" i="106"/>
  <c r="F39" i="106"/>
  <c r="F38" i="106"/>
  <c r="F37" i="106"/>
  <c r="F35" i="106"/>
  <c r="F34" i="106"/>
  <c r="F33" i="106"/>
  <c r="F32" i="106"/>
  <c r="F31" i="106"/>
  <c r="F30" i="106"/>
  <c r="F29" i="106"/>
  <c r="F28" i="106"/>
  <c r="F27" i="106"/>
  <c r="F26" i="106"/>
  <c r="F25" i="106"/>
  <c r="F24" i="106"/>
  <c r="F23" i="106"/>
  <c r="F22" i="106"/>
  <c r="F21" i="106"/>
  <c r="F20" i="106"/>
  <c r="F19" i="106"/>
  <c r="F18" i="106"/>
  <c r="F16" i="106"/>
  <c r="F15" i="106"/>
  <c r="F14" i="106"/>
  <c r="F13" i="106"/>
  <c r="F12" i="106"/>
  <c r="I270" i="108" l="1"/>
  <c r="H270" i="108"/>
  <c r="G270" i="108"/>
  <c r="I269" i="108"/>
  <c r="H269" i="108"/>
  <c r="G269" i="108"/>
  <c r="I268" i="108"/>
  <c r="H268" i="108"/>
  <c r="G268" i="108"/>
  <c r="I267" i="108"/>
  <c r="H267" i="108"/>
  <c r="G267" i="108"/>
  <c r="I266" i="108"/>
  <c r="H266" i="108"/>
  <c r="G266" i="108"/>
  <c r="I265" i="108"/>
  <c r="H265" i="108"/>
  <c r="G265" i="108"/>
  <c r="I264" i="108"/>
  <c r="H264" i="108"/>
  <c r="G264" i="108"/>
  <c r="I263" i="108"/>
  <c r="H263" i="108"/>
  <c r="G263" i="108"/>
  <c r="I262" i="108"/>
  <c r="H262" i="108"/>
  <c r="G262" i="108"/>
  <c r="I261" i="108"/>
  <c r="H261" i="108"/>
  <c r="G261" i="108"/>
  <c r="I260" i="108"/>
  <c r="H260" i="108"/>
  <c r="G260" i="108"/>
  <c r="I259" i="108"/>
  <c r="H259" i="108"/>
  <c r="I258" i="108"/>
  <c r="H258" i="108"/>
  <c r="I257" i="108"/>
  <c r="H257" i="108"/>
  <c r="I238" i="108"/>
  <c r="H238" i="108"/>
  <c r="G238" i="108"/>
  <c r="I240" i="108"/>
  <c r="H240" i="108"/>
  <c r="G240" i="108"/>
  <c r="I253" i="108"/>
  <c r="H253" i="108"/>
  <c r="G253" i="108"/>
  <c r="I255" i="108"/>
  <c r="H255" i="108"/>
  <c r="G255" i="108"/>
  <c r="I251" i="108"/>
  <c r="H251" i="108"/>
  <c r="G251" i="108"/>
  <c r="I248" i="108"/>
  <c r="H248" i="108"/>
  <c r="G248" i="108"/>
  <c r="I239" i="108"/>
  <c r="H239" i="108"/>
  <c r="G239" i="108"/>
  <c r="I244" i="108"/>
  <c r="H244" i="108"/>
  <c r="G244" i="108"/>
  <c r="I241" i="108"/>
  <c r="H241" i="108"/>
  <c r="G241" i="108"/>
  <c r="I235" i="108"/>
  <c r="H235" i="108"/>
  <c r="G235" i="108"/>
  <c r="I243" i="108"/>
  <c r="H243" i="108"/>
  <c r="G243" i="108"/>
  <c r="I237" i="108"/>
  <c r="H237" i="108"/>
  <c r="G237" i="108"/>
  <c r="I250" i="108"/>
  <c r="H250" i="108"/>
  <c r="G250" i="108"/>
  <c r="I254" i="108"/>
  <c r="H254" i="108"/>
  <c r="G254" i="108"/>
  <c r="I236" i="108"/>
  <c r="H236" i="108"/>
  <c r="G236" i="108"/>
  <c r="I245" i="108"/>
  <c r="H245" i="108"/>
  <c r="G245" i="108"/>
  <c r="I252" i="108"/>
  <c r="H252" i="108"/>
  <c r="G252" i="108"/>
  <c r="I256" i="108"/>
  <c r="H256" i="108"/>
  <c r="G256" i="108"/>
  <c r="I232" i="108"/>
  <c r="H232" i="108"/>
  <c r="G232" i="108"/>
  <c r="I247" i="108"/>
  <c r="H247" i="108"/>
  <c r="G247" i="108"/>
  <c r="I233" i="108"/>
  <c r="H233" i="108"/>
  <c r="G233" i="108"/>
  <c r="I230" i="108"/>
  <c r="H230" i="108"/>
  <c r="G230" i="108"/>
  <c r="I246" i="108"/>
  <c r="H246" i="108"/>
  <c r="G246" i="108"/>
  <c r="I231" i="108"/>
  <c r="H231" i="108"/>
  <c r="G231" i="108"/>
  <c r="I242" i="108"/>
  <c r="H242" i="108"/>
  <c r="G242" i="108"/>
  <c r="I234" i="108"/>
  <c r="H234" i="108"/>
  <c r="G234" i="108"/>
  <c r="I249" i="108"/>
  <c r="H249" i="108"/>
  <c r="G249" i="108"/>
  <c r="I229" i="108"/>
  <c r="G229" i="108"/>
  <c r="G208" i="108"/>
  <c r="G211" i="108"/>
  <c r="G207" i="108"/>
  <c r="G212" i="108"/>
  <c r="G210" i="108"/>
  <c r="G209" i="108"/>
  <c r="G205" i="108"/>
  <c r="G187" i="108"/>
  <c r="G189" i="108"/>
  <c r="G198" i="108"/>
  <c r="G199" i="108"/>
  <c r="G196" i="108"/>
  <c r="G185" i="108"/>
  <c r="G182" i="108"/>
  <c r="G192" i="108"/>
  <c r="G179" i="108"/>
  <c r="G188" i="108"/>
  <c r="G186" i="108"/>
  <c r="G203" i="108"/>
  <c r="G194" i="108"/>
  <c r="G200" i="108"/>
  <c r="G183" i="108"/>
  <c r="G195" i="108"/>
  <c r="G201" i="108"/>
  <c r="G190" i="108"/>
  <c r="G193" i="108"/>
  <c r="G178" i="108"/>
  <c r="G202" i="108"/>
  <c r="G197" i="108"/>
  <c r="G180" i="108"/>
  <c r="G191" i="108"/>
  <c r="G184" i="108"/>
  <c r="G181" i="108"/>
  <c r="G176" i="108"/>
  <c r="I108" i="108"/>
  <c r="O108" i="108" s="1"/>
  <c r="H108" i="108"/>
  <c r="G108" i="108"/>
  <c r="I107" i="108"/>
  <c r="O107" i="108" s="1"/>
  <c r="H107" i="108"/>
  <c r="G107" i="108"/>
  <c r="I106" i="108"/>
  <c r="O106" i="108" s="1"/>
  <c r="H106" i="108"/>
  <c r="G106" i="108"/>
  <c r="I105" i="108"/>
  <c r="O105" i="108" s="1"/>
  <c r="H105" i="108"/>
  <c r="G105" i="108"/>
  <c r="I104" i="108"/>
  <c r="O104" i="108" s="1"/>
  <c r="H104" i="108"/>
  <c r="G104" i="108"/>
  <c r="I103" i="108"/>
  <c r="O103" i="108" s="1"/>
  <c r="H103" i="108"/>
  <c r="G103" i="108"/>
  <c r="I102" i="108"/>
  <c r="O102" i="108" s="1"/>
  <c r="H102" i="108"/>
  <c r="G102" i="108"/>
  <c r="I101" i="108"/>
  <c r="O101" i="108" s="1"/>
  <c r="H101" i="108"/>
  <c r="G101" i="108"/>
  <c r="I100" i="108"/>
  <c r="O100" i="108" s="1"/>
  <c r="H100" i="108"/>
  <c r="G100" i="108"/>
  <c r="I99" i="108"/>
  <c r="O99" i="108" s="1"/>
  <c r="H99" i="108"/>
  <c r="G99" i="108"/>
  <c r="I98" i="108"/>
  <c r="O98" i="108" s="1"/>
  <c r="H98" i="108"/>
  <c r="G98" i="108"/>
  <c r="I97" i="108"/>
  <c r="O97" i="108" s="1"/>
  <c r="H97" i="108"/>
  <c r="G97" i="108"/>
  <c r="I96" i="108"/>
  <c r="O96" i="108" s="1"/>
  <c r="H96" i="108"/>
  <c r="G96" i="108"/>
  <c r="I95" i="108"/>
  <c r="O95" i="108" s="1"/>
  <c r="H95" i="108"/>
  <c r="G95" i="108"/>
  <c r="I94" i="108"/>
  <c r="O94" i="108" s="1"/>
  <c r="H94" i="108"/>
  <c r="G94" i="108"/>
  <c r="I93" i="108"/>
  <c r="O93" i="108" s="1"/>
  <c r="H93" i="108"/>
  <c r="G93" i="108"/>
  <c r="I92" i="108"/>
  <c r="O92" i="108" s="1"/>
  <c r="H92" i="108"/>
  <c r="G92" i="108"/>
  <c r="I91" i="108"/>
  <c r="O91" i="108" s="1"/>
  <c r="H91" i="108"/>
  <c r="G91" i="108"/>
  <c r="I90" i="108"/>
  <c r="O90" i="108" s="1"/>
  <c r="H90" i="108"/>
  <c r="G90" i="108"/>
  <c r="I89" i="108"/>
  <c r="O89" i="108" s="1"/>
  <c r="H89" i="108"/>
  <c r="G89" i="108"/>
  <c r="I88" i="108"/>
  <c r="O88" i="108" s="1"/>
  <c r="H88" i="108"/>
  <c r="G88" i="108"/>
  <c r="I87" i="108"/>
  <c r="O87" i="108" s="1"/>
  <c r="H87" i="108"/>
  <c r="G87" i="108"/>
  <c r="I86" i="108"/>
  <c r="O86" i="108" s="1"/>
  <c r="H86" i="108"/>
  <c r="G86" i="108"/>
  <c r="I85" i="108"/>
  <c r="O85" i="108" s="1"/>
  <c r="H85" i="108"/>
  <c r="G85" i="108"/>
  <c r="I84" i="108"/>
  <c r="O84" i="108" s="1"/>
  <c r="H84" i="108"/>
  <c r="G84" i="108"/>
  <c r="I83" i="108"/>
  <c r="O83" i="108" s="1"/>
  <c r="H83" i="108"/>
  <c r="G83" i="108"/>
  <c r="I82" i="108"/>
  <c r="O82" i="108" s="1"/>
  <c r="H82" i="108"/>
  <c r="G82" i="108"/>
  <c r="I81" i="108"/>
  <c r="O81" i="108" s="1"/>
  <c r="H81" i="108"/>
  <c r="G81" i="108"/>
  <c r="I80" i="108"/>
  <c r="O80" i="108" s="1"/>
  <c r="H80" i="108"/>
  <c r="G80" i="108"/>
  <c r="I79" i="108"/>
  <c r="O79" i="108" s="1"/>
  <c r="H79" i="108"/>
  <c r="G79" i="108"/>
  <c r="I78" i="108"/>
  <c r="O78" i="108" s="1"/>
  <c r="H78" i="108"/>
  <c r="G78" i="108"/>
  <c r="I77" i="108"/>
  <c r="O77" i="108" s="1"/>
  <c r="H77" i="108"/>
  <c r="G77" i="108"/>
  <c r="I76" i="108"/>
  <c r="O76" i="108" s="1"/>
  <c r="H76" i="108"/>
  <c r="G76" i="108"/>
  <c r="I75" i="108"/>
  <c r="O75" i="108" s="1"/>
  <c r="H75" i="108"/>
  <c r="G75" i="108"/>
  <c r="I74" i="108"/>
  <c r="O74" i="108" s="1"/>
  <c r="H74" i="108"/>
  <c r="G74" i="108"/>
  <c r="I73" i="108"/>
  <c r="O73" i="108" s="1"/>
  <c r="H73" i="108"/>
  <c r="G73" i="108"/>
  <c r="I72" i="108"/>
  <c r="O72" i="108" s="1"/>
  <c r="H72" i="108"/>
  <c r="G72" i="108"/>
  <c r="I71" i="108"/>
  <c r="O71" i="108" s="1"/>
  <c r="H71" i="108"/>
  <c r="G71" i="108"/>
  <c r="I70" i="108"/>
  <c r="O70" i="108" s="1"/>
  <c r="H70" i="108"/>
  <c r="G70" i="108"/>
  <c r="I69" i="108"/>
  <c r="O69" i="108" s="1"/>
  <c r="H69" i="108"/>
  <c r="G69" i="108"/>
  <c r="I68" i="108"/>
  <c r="O68" i="108" s="1"/>
  <c r="H68" i="108"/>
  <c r="G68" i="108"/>
  <c r="I67" i="108"/>
  <c r="O67" i="108" s="1"/>
  <c r="G67" i="108"/>
  <c r="I167" i="108"/>
  <c r="O167" i="108" s="1"/>
  <c r="H167" i="108"/>
  <c r="G167" i="108"/>
  <c r="I166" i="108"/>
  <c r="O166" i="108" s="1"/>
  <c r="H166" i="108"/>
  <c r="G166" i="108"/>
  <c r="I165" i="108"/>
  <c r="O165" i="108" s="1"/>
  <c r="H165" i="108"/>
  <c r="G165" i="108"/>
  <c r="I164" i="108"/>
  <c r="O164" i="108" s="1"/>
  <c r="H164" i="108"/>
  <c r="G164" i="108"/>
  <c r="I163" i="108"/>
  <c r="O163" i="108" s="1"/>
  <c r="H163" i="108"/>
  <c r="G163" i="108"/>
  <c r="I162" i="108"/>
  <c r="O162" i="108" s="1"/>
  <c r="H162" i="108"/>
  <c r="G162" i="108"/>
  <c r="I161" i="108"/>
  <c r="O161" i="108" s="1"/>
  <c r="H161" i="108"/>
  <c r="G161" i="108"/>
  <c r="I160" i="108"/>
  <c r="O160" i="108" s="1"/>
  <c r="H160" i="108"/>
  <c r="G160" i="108"/>
  <c r="I159" i="108"/>
  <c r="O159" i="108" s="1"/>
  <c r="H159" i="108"/>
  <c r="G159" i="108"/>
  <c r="I158" i="108"/>
  <c r="O158" i="108" s="1"/>
  <c r="H158" i="108"/>
  <c r="G158" i="108"/>
  <c r="I157" i="108"/>
  <c r="O157" i="108" s="1"/>
  <c r="H157" i="108"/>
  <c r="G157" i="108"/>
  <c r="I156" i="108"/>
  <c r="O156" i="108" s="1"/>
  <c r="H156" i="108"/>
  <c r="G156" i="108"/>
  <c r="I155" i="108"/>
  <c r="O155" i="108" s="1"/>
  <c r="H155" i="108"/>
  <c r="G155" i="108"/>
  <c r="I154" i="108"/>
  <c r="O154" i="108" s="1"/>
  <c r="H154" i="108"/>
  <c r="G154" i="108"/>
  <c r="I153" i="108"/>
  <c r="O153" i="108" s="1"/>
  <c r="H153" i="108"/>
  <c r="G153" i="108"/>
  <c r="I152" i="108"/>
  <c r="O152" i="108" s="1"/>
  <c r="H152" i="108"/>
  <c r="G152" i="108"/>
  <c r="I151" i="108"/>
  <c r="O151" i="108" s="1"/>
  <c r="H151" i="108"/>
  <c r="G151" i="108"/>
  <c r="I150" i="108"/>
  <c r="O150" i="108" s="1"/>
  <c r="H150" i="108"/>
  <c r="G150" i="108"/>
  <c r="I149" i="108"/>
  <c r="O149" i="108" s="1"/>
  <c r="H149" i="108"/>
  <c r="G149" i="108"/>
  <c r="I148" i="108"/>
  <c r="O148" i="108" s="1"/>
  <c r="H148" i="108"/>
  <c r="G148" i="108"/>
  <c r="I147" i="108"/>
  <c r="O147" i="108" s="1"/>
  <c r="H147" i="108"/>
  <c r="G147" i="108"/>
  <c r="I146" i="108"/>
  <c r="O146" i="108" s="1"/>
  <c r="H146" i="108"/>
  <c r="G146" i="108"/>
  <c r="I145" i="108"/>
  <c r="O145" i="108" s="1"/>
  <c r="H145" i="108"/>
  <c r="G145" i="108"/>
  <c r="I144" i="108"/>
  <c r="O144" i="108" s="1"/>
  <c r="H144" i="108"/>
  <c r="G144" i="108"/>
  <c r="I143" i="108"/>
  <c r="O143" i="108" s="1"/>
  <c r="H143" i="108"/>
  <c r="G143" i="108"/>
  <c r="I142" i="108"/>
  <c r="O142" i="108" s="1"/>
  <c r="H142" i="108"/>
  <c r="G142" i="108"/>
  <c r="I141" i="108"/>
  <c r="O141" i="108" s="1"/>
  <c r="H141" i="108"/>
  <c r="G141" i="108"/>
  <c r="I140" i="108"/>
  <c r="O140" i="108" s="1"/>
  <c r="H140" i="108"/>
  <c r="G140" i="108"/>
  <c r="I139" i="108"/>
  <c r="O139" i="108" s="1"/>
  <c r="H139" i="108"/>
  <c r="G139" i="108"/>
  <c r="I138" i="108"/>
  <c r="O138" i="108" s="1"/>
  <c r="H138" i="108"/>
  <c r="G138" i="108"/>
  <c r="I137" i="108"/>
  <c r="O137" i="108" s="1"/>
  <c r="H137" i="108"/>
  <c r="G137" i="108"/>
  <c r="I136" i="108"/>
  <c r="O136" i="108" s="1"/>
  <c r="H136" i="108"/>
  <c r="G136" i="108"/>
  <c r="I135" i="108"/>
  <c r="O135" i="108" s="1"/>
  <c r="H135" i="108"/>
  <c r="G135" i="108"/>
  <c r="I134" i="108"/>
  <c r="O134" i="108" s="1"/>
  <c r="H134" i="108"/>
  <c r="G134" i="108"/>
  <c r="I133" i="108"/>
  <c r="O133" i="108" s="1"/>
  <c r="H133" i="108"/>
  <c r="G133" i="108"/>
  <c r="I132" i="108"/>
  <c r="O132" i="108" s="1"/>
  <c r="H132" i="108"/>
  <c r="G132" i="108"/>
  <c r="I131" i="108"/>
  <c r="O131" i="108" s="1"/>
  <c r="H131" i="108"/>
  <c r="G131" i="108"/>
  <c r="I130" i="108"/>
  <c r="O130" i="108" s="1"/>
  <c r="H130" i="108"/>
  <c r="G130" i="108"/>
  <c r="I129" i="108"/>
  <c r="O129" i="108" s="1"/>
  <c r="H129" i="108"/>
  <c r="G129" i="108"/>
  <c r="I128" i="108"/>
  <c r="O128" i="108" s="1"/>
  <c r="H128" i="108"/>
  <c r="G128" i="108"/>
  <c r="I127" i="108"/>
  <c r="O127" i="108" s="1"/>
  <c r="H127" i="108"/>
  <c r="G127" i="108"/>
  <c r="I126" i="108"/>
  <c r="O126" i="108" s="1"/>
  <c r="G126" i="108"/>
  <c r="C82" i="101"/>
  <c r="C81" i="101"/>
  <c r="C80" i="101"/>
  <c r="C79" i="101"/>
  <c r="C78" i="101"/>
  <c r="C77" i="101"/>
  <c r="C76" i="101"/>
  <c r="E82" i="101"/>
  <c r="E81" i="101"/>
  <c r="E80" i="101"/>
  <c r="E79" i="101"/>
  <c r="E78" i="101"/>
  <c r="E77" i="101"/>
  <c r="E76" i="101"/>
  <c r="D93" i="101"/>
  <c r="D83" i="101" s="1"/>
  <c r="E83" i="101" s="1"/>
  <c r="B93" i="101"/>
  <c r="B83" i="101" s="1"/>
  <c r="C83" i="101" s="1"/>
  <c r="G11" i="101" l="1"/>
  <c r="F17" i="101" l="1"/>
  <c r="F12" i="101"/>
  <c r="F15" i="101"/>
  <c r="F13" i="101"/>
  <c r="F16" i="101"/>
  <c r="F14" i="101"/>
</calcChain>
</file>

<file path=xl/sharedStrings.xml><?xml version="1.0" encoding="utf-8"?>
<sst xmlns="http://schemas.openxmlformats.org/spreadsheetml/2006/main" count="1022" uniqueCount="182">
  <si>
    <t>Energy</t>
  </si>
  <si>
    <t>Luxembourg</t>
  </si>
  <si>
    <t>Belgium</t>
  </si>
  <si>
    <t>Ireland</t>
  </si>
  <si>
    <t>Netherlands</t>
  </si>
  <si>
    <t>Austria</t>
  </si>
  <si>
    <t>Sweden</t>
  </si>
  <si>
    <t>Denmark</t>
  </si>
  <si>
    <t>Finland</t>
  </si>
  <si>
    <t>Lithuania</t>
  </si>
  <si>
    <t>Latvia</t>
  </si>
  <si>
    <t>United Kingdom</t>
  </si>
  <si>
    <t>Germany</t>
  </si>
  <si>
    <t>France</t>
  </si>
  <si>
    <t>Spain</t>
  </si>
  <si>
    <t>Italy</t>
  </si>
  <si>
    <t>Greece</t>
  </si>
  <si>
    <t>Slovenia</t>
  </si>
  <si>
    <t>Portugal</t>
  </si>
  <si>
    <t>Estonia</t>
  </si>
  <si>
    <t>Slovakia</t>
  </si>
  <si>
    <t>Hungary</t>
  </si>
  <si>
    <t>Poland</t>
  </si>
  <si>
    <t>Romania</t>
  </si>
  <si>
    <t>Bulgaria</t>
  </si>
  <si>
    <t>Norway</t>
  </si>
  <si>
    <t>Croatia</t>
  </si>
  <si>
    <t>Cyprus</t>
  </si>
  <si>
    <t>Malta</t>
  </si>
  <si>
    <t>Solar</t>
  </si>
  <si>
    <t>Wind</t>
  </si>
  <si>
    <t>Geothermal</t>
  </si>
  <si>
    <t>Other</t>
  </si>
  <si>
    <t>Combustible fuels</t>
  </si>
  <si>
    <t>Electricity production, consumption and market overview</t>
  </si>
  <si>
    <t>Bookmark:</t>
  </si>
  <si>
    <t>(GWh)</t>
  </si>
  <si>
    <t/>
  </si>
  <si>
    <t>Serbia</t>
  </si>
  <si>
    <t>Albania</t>
  </si>
  <si>
    <t>Montenegro</t>
  </si>
  <si>
    <t>Iceland</t>
  </si>
  <si>
    <t>(%)</t>
  </si>
  <si>
    <t>(%, based on GWh)</t>
  </si>
  <si>
    <t>:</t>
  </si>
  <si>
    <t>Net generation</t>
  </si>
  <si>
    <t>Ukraine</t>
  </si>
  <si>
    <t>Czechia</t>
  </si>
  <si>
    <t>North Macedonia</t>
  </si>
  <si>
    <t>Hydro</t>
  </si>
  <si>
    <t>European Union - 27 countries (from 2020)</t>
  </si>
  <si>
    <t>Germany (until 1990 former territory of the FRG)</t>
  </si>
  <si>
    <t>share in EU</t>
  </si>
  <si>
    <t>Total</t>
  </si>
  <si>
    <t>(TWh)</t>
  </si>
  <si>
    <t>Last update</t>
  </si>
  <si>
    <t>Source of data</t>
  </si>
  <si>
    <t>Eurostat</t>
  </si>
  <si>
    <t>NRG_BAL</t>
  </si>
  <si>
    <t>SIEC</t>
  </si>
  <si>
    <t>UNIT</t>
  </si>
  <si>
    <t>Gigawatt-hour</t>
  </si>
  <si>
    <t>Liechtenstein</t>
  </si>
  <si>
    <t>Bosnia and Herzegovina</t>
  </si>
  <si>
    <t>Moldova</t>
  </si>
  <si>
    <t>Georgia</t>
  </si>
  <si>
    <t>Electricity</t>
  </si>
  <si>
    <t>Supply, transformation and consumption of electricity [nrg_cb_e]</t>
  </si>
  <si>
    <t>Final consumption - other sectors - households - energy use</t>
  </si>
  <si>
    <t>EU</t>
  </si>
  <si>
    <t>Kosovo*</t>
  </si>
  <si>
    <t>Energy market indicator [nrg_ind_market]</t>
  </si>
  <si>
    <t>Türkiye</t>
  </si>
  <si>
    <t>Nuclear</t>
  </si>
  <si>
    <t>TIME</t>
  </si>
  <si>
    <t>2011</t>
  </si>
  <si>
    <t>2021</t>
  </si>
  <si>
    <t>2016</t>
  </si>
  <si>
    <t>2022</t>
  </si>
  <si>
    <t>Figure 4: Electricity consumption by households, 2022</t>
  </si>
  <si>
    <t>Statistics | Eurostat (europa.eu)</t>
  </si>
  <si>
    <t xml:space="preserve">Dataset: </t>
  </si>
  <si>
    <t>Gross and net production of electricity and derived heat by type of plant and operator [nrg_ind_peh__custom_12582952]</t>
  </si>
  <si>
    <t xml:space="preserve">Last updated: </t>
  </si>
  <si>
    <t>Time frequency</t>
  </si>
  <si>
    <t>Annual</t>
  </si>
  <si>
    <t>Type of plant</t>
  </si>
  <si>
    <t>Operator/Trader</t>
  </si>
  <si>
    <t>Energy balance</t>
  </si>
  <si>
    <t>Net electricity production</t>
  </si>
  <si>
    <t>Standard international energy product classification (SIEC)</t>
  </si>
  <si>
    <t>Unit of measure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</si>
  <si>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</si>
  <si>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</si>
  <si>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</si>
  <si>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</si>
  <si>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</si>
  <si>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</si>
  <si>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</si>
  <si>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</si>
  <si>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</si>
  <si>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</si>
  <si>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</si>
  <si>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</si>
  <si>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</si>
  <si>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</si>
  <si>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</si>
  <si>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</si>
  <si>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</si>
  <si>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</si>
  <si>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</si>
  <si>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</si>
  <si>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</si>
  <si>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2012</t>
  </si>
  <si>
    <t>2013</t>
  </si>
  <si>
    <t>2014</t>
  </si>
  <si>
    <t>2015</t>
  </si>
  <si>
    <t>2017</t>
  </si>
  <si>
    <t>2018</t>
  </si>
  <si>
    <t>2019</t>
  </si>
  <si>
    <t>2020</t>
  </si>
  <si>
    <t>GEO (Labels)</t>
  </si>
  <si>
    <t>TWh</t>
  </si>
  <si>
    <t>Geopolitical entity (reporting)</t>
  </si>
  <si>
    <t>Tide, wave, ocean</t>
  </si>
  <si>
    <t>Ambient heat (heat pumps)</t>
  </si>
  <si>
    <t>Nuclear fuels and other fuels n.e.c.</t>
  </si>
  <si>
    <t>Heat</t>
  </si>
  <si>
    <t>Derived heat and district heating</t>
  </si>
  <si>
    <t>Other fuels n.e.c. - heat from chemical sources</t>
  </si>
  <si>
    <t>Other fuels n.e.c.</t>
  </si>
  <si>
    <t>Batteries</t>
  </si>
  <si>
    <t>Special value</t>
  </si>
  <si>
    <t>not available</t>
  </si>
  <si>
    <t>Gross and net production of electricity and derived heat by type of plant and operator [nrg_ind_peh__custom_12595002]</t>
  </si>
  <si>
    <t>other</t>
  </si>
  <si>
    <t>sum</t>
  </si>
  <si>
    <t xml:space="preserve">other </t>
  </si>
  <si>
    <t>in %</t>
  </si>
  <si>
    <t>Figure 2: Overall change in net electricity generation, 2012-2022</t>
  </si>
  <si>
    <t>Gross and net production of electricity and derived heat by type of plant and operator [nrg_ind_peh__custom_12595473]</t>
  </si>
  <si>
    <t>sorted EU 27</t>
  </si>
  <si>
    <t>EFTA</t>
  </si>
  <si>
    <t>change</t>
  </si>
  <si>
    <t>sorted by % change</t>
  </si>
  <si>
    <t>Supply, transforma+A64:E103tion and consumption of electricity [nrg_cb_e]</t>
  </si>
  <si>
    <t>Figure 1: Net electricity generation, EU, 1990-2022</t>
  </si>
  <si>
    <t>Figure 3: Net electricity generation, EU, 2022</t>
  </si>
  <si>
    <r>
      <t>Source:</t>
    </r>
    <r>
      <rPr>
        <sz val="10"/>
        <rFont val="Arial"/>
        <family val="2"/>
      </rPr>
      <t xml:space="preserve"> Eurostat (online data code: nrg_ind_peh)</t>
    </r>
  </si>
  <si>
    <r>
      <t>Source:</t>
    </r>
    <r>
      <rPr>
        <sz val="10"/>
        <rFont val="Arial"/>
        <family val="2"/>
      </rPr>
      <t xml:space="preserve"> Eurostat (online data code: nrg_cb_e)</t>
    </r>
  </si>
  <si>
    <t>Note: Data are not available for the Netherlands.</t>
  </si>
  <si>
    <t>(¹) 2022 data are not available at the time of publication.</t>
  </si>
  <si>
    <t>(²) 2021 data</t>
  </si>
  <si>
    <t>* This designation is without prejudice to positions on status, and is in line with UNSCR 1244/1999 and the ICJ Opinion on the Kosovo Declaration of Independence.</t>
  </si>
  <si>
    <r>
      <t>Source:</t>
    </r>
    <r>
      <rPr>
        <sz val="10"/>
        <rFont val="Arial"/>
        <family val="2"/>
      </rPr>
      <t xml:space="preserve"> Eurostat (online data code: nrg_ind_market)</t>
    </r>
  </si>
  <si>
    <t>Figure 5: Market share of the largest generator in the electricity market, 2017 and 2022</t>
  </si>
  <si>
    <t>Gross and net production of electricity and derived heat by type of plant and operator [nrg_ind_peh__custom_12620935]</t>
  </si>
  <si>
    <t>https://ec.europa.eu/eurostat/databrowser/view/nrg_ind_peh__custom_12620935/default/table?lang=en</t>
  </si>
  <si>
    <t>wind&amp;hydro&amp;solar</t>
  </si>
  <si>
    <t>GWh</t>
  </si>
  <si>
    <t>% of the total</t>
  </si>
  <si>
    <t>Figure 1: Net electricity generation, EU, 1990-2023</t>
  </si>
  <si>
    <t>2023</t>
  </si>
  <si>
    <t>Data extracted on 20/11/2025 15:17:20 from [ESTAT]</t>
  </si>
  <si>
    <t>Data extracted on 20/11/2025 15:27:36 from [ESTAT]</t>
  </si>
  <si>
    <t>2023 in %</t>
  </si>
  <si>
    <t>2013/2023</t>
  </si>
  <si>
    <t>2023/2022</t>
  </si>
  <si>
    <t>Data extracted on 26/11/2025 09:14:49 from [ESTAT]</t>
  </si>
  <si>
    <t>sorted for change 2022 to 2023</t>
  </si>
  <si>
    <t>Data extracted on 26/11/2025 12:27:08 from [ESTAT]</t>
  </si>
  <si>
    <t>Figure 2: Overall change in net electricity generation, 2013-2023</t>
  </si>
  <si>
    <t>Data extracted on 26/11/2025 10:37:22 from [ESTAT]</t>
  </si>
  <si>
    <t>Figure 3: Net electricity generation, EU27, 2023</t>
  </si>
  <si>
    <t>Data extracted on 26/11/2025 10:48:55 from [ESTAT]</t>
  </si>
  <si>
    <t>(2013 = 100)</t>
  </si>
  <si>
    <t>Figure 4: Electricity consumption by households, 2023</t>
  </si>
  <si>
    <t>(2013= 100)</t>
  </si>
  <si>
    <t>Data extracted on 26/11/2025 11:04:47 from [ESTAT]</t>
  </si>
  <si>
    <t>Gross and net production of electricity and derived heat by type of plant and operator [nrg_ind_peh__custom_19075265]</t>
  </si>
  <si>
    <t>28/08/2025 23:00</t>
  </si>
  <si>
    <t>Figure 5: Market share of the largest company-electricity generation, 2018 and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</si>
</sst>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0.0"/>
    <numFmt numFmtId="165" formatCode="#,##0.0"/>
    <numFmt numFmtId="166" formatCode="#,##0.0_i"/>
    <numFmt numFmtId="167" formatCode="@_i"/>
    <numFmt numFmtId="168" formatCode="#,##0_i"/>
    <numFmt numFmtId="169" formatCode="0.0%"/>
    <numFmt numFmtId="170" formatCode="dd\.mm\.yy"/>
    <numFmt numFmtId="171" formatCode="#,##0.000"/>
    <numFmt numFmtId="172" formatCode="#,##0.##########"/>
    <numFmt numFmtId="173" formatCode="0.0000"/>
  </numFmts>
  <fonts count="21" x14ac:knownFonts="1">
    <font>
      <sz val="9"/>
      <name val="Arial"/>
      <family val="2"/>
    </font>
    <font>
      <sz val="8"/>
      <name val="Arial"/>
      <family val="2"/>
    </font>
    <font>
      <u/>
      <sz val="9"/>
      <color theme="10"/>
      <name val="Arial"/>
      <family val="2"/>
    </font>
    <font>
      <sz val="9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63"/>
      <name val="Arial"/>
      <family val="2"/>
    </font>
    <font>
      <i/>
      <sz val="10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10"/>
      <color indexed="62"/>
      <name val="Arial"/>
      <family val="2"/>
    </font>
    <font>
      <sz val="10"/>
      <color indexed="23"/>
      <name val="Arial"/>
      <family val="2"/>
    </font>
    <font>
      <u/>
      <sz val="10"/>
      <color theme="10"/>
      <name val="Arial"/>
      <family val="2"/>
    </font>
    <font>
      <sz val="10"/>
      <color indexed="18"/>
      <name val="Arial"/>
      <family val="2"/>
    </font>
    <font>
      <sz val="10"/>
      <color indexed="63"/>
      <name val="Arial"/>
      <family val="2"/>
    </font>
    <font>
      <b/>
      <sz val="10"/>
      <color theme="1"/>
      <name val="Arial"/>
      <family val="2"/>
    </font>
    <font>
      <b/>
      <sz val="12"/>
      <name val="Arial"/>
      <family val="2"/>
    </font>
    <font>
      <sz val="9"/>
      <name val="Arial"/>
    </font>
    <font>
      <b/>
      <sz val="9"/>
      <name val="Arial"/>
    </font>
    <font>
      <b/>
      <sz val="9"/>
      <color indexed="9"/>
      <name val="Arial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DCE6F1"/>
      </patternFill>
    </fill>
    <fill>
      <patternFill patternType="solid">
        <fgColor rgb="FFF6F6F6"/>
      </patternFill>
    </fill>
    <fill>
      <patternFill patternType="solid">
        <fgColor theme="0"/>
        <bgColor indexed="64"/>
      </patternFill>
    </fill>
    <fill>
      <patternFill patternType="solid">
        <fgColor rgb="FF4669AF"/>
      </patternFill>
    </fill>
    <fill>
      <patternFill patternType="solid">
        <fgColor rgb="FF0096DC"/>
      </patternFill>
    </fill>
    <fill>
      <patternFill patternType="mediumGray">
        <bgColor indexed="22"/>
      </patternFill>
    </fill>
  </fills>
  <borders count="12">
    <border>
      <left/>
      <right/>
      <top/>
      <bottom/>
      <diagonal/>
    </border>
    <border>
      <left/>
      <right/>
      <top/>
      <bottom style="hair">
        <color rgb="FFC0C0C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hair">
        <color rgb="FFC0C0C0"/>
      </top>
      <bottom style="hair">
        <color rgb="FFC0C0C0"/>
      </bottom>
      <diagonal/>
    </border>
    <border>
      <left/>
      <right/>
      <top style="hair">
        <color rgb="FFC0C0C0"/>
      </top>
      <bottom style="thin">
        <color rgb="FF000000"/>
      </bottom>
      <diagonal/>
    </border>
    <border>
      <left/>
      <right/>
      <top style="hair">
        <color rgb="FFC0C0C0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hair">
        <color rgb="FFC0C0C0"/>
      </top>
      <bottom style="thin">
        <color indexed="64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/>
      <bottom/>
      <diagonal/>
    </border>
    <border>
      <left/>
      <right/>
      <top/>
      <bottom style="thin">
        <color rgb="FF000000"/>
      </bottom>
      <diagonal/>
    </border>
  </borders>
  <cellStyleXfs count="6">
    <xf numFmtId="0" fontId="0" fillId="0" borderId="0" applyNumberFormat="0" applyFill="0" applyBorder="0" applyProtection="0">
      <alignment vertical="center"/>
    </xf>
    <xf numFmtId="0" fontId="2" fillId="0" borderId="0" applyNumberFormat="0" applyFill="0" applyBorder="0" applyAlignment="0" applyProtection="0"/>
    <xf numFmtId="0" fontId="4" fillId="0" borderId="0"/>
    <xf numFmtId="0" fontId="5" fillId="0" borderId="0"/>
    <xf numFmtId="166" fontId="3" fillId="0" borderId="0" applyFill="0" applyBorder="0" applyProtection="0">
      <alignment horizontal="right" vertical="center"/>
    </xf>
    <xf numFmtId="9" fontId="3" fillId="0" borderId="0" applyFont="0" applyFill="0" applyBorder="0" applyAlignment="0" applyProtection="0"/>
  </cellStyleXfs>
  <cellXfs count="121">
    <xf numFmtId="0" fontId="0" fillId="0" borderId="0" xfId="0">
      <alignment vertical="center"/>
    </xf>
    <xf numFmtId="0" fontId="5" fillId="0" borderId="0" xfId="0" applyFont="1" applyFill="1" applyBorder="1" applyAlignment="1">
      <alignment horizontal="left"/>
    </xf>
    <xf numFmtId="0" fontId="6" fillId="4" borderId="9" xfId="0" applyFont="1" applyFill="1" applyBorder="1" applyAlignment="1">
      <alignment horizontal="left" vertical="center"/>
    </xf>
    <xf numFmtId="172" fontId="5" fillId="5" borderId="0" xfId="0" applyNumberFormat="1" applyFont="1" applyFill="1" applyAlignment="1">
      <alignment horizontal="right" vertical="center" shrinkToFit="1"/>
    </xf>
    <xf numFmtId="0" fontId="6" fillId="0" borderId="9" xfId="0" applyFont="1" applyFill="1" applyBorder="1" applyAlignment="1">
      <alignment horizontal="left" vertical="center"/>
    </xf>
    <xf numFmtId="0" fontId="5" fillId="0" borderId="0" xfId="0" applyFont="1" applyFill="1" applyAlignment="1"/>
    <xf numFmtId="0" fontId="6" fillId="0" borderId="9" xfId="0" applyFont="1" applyFill="1" applyBorder="1" applyAlignment="1">
      <alignment horizontal="right" vertical="center"/>
    </xf>
    <xf numFmtId="2" fontId="5" fillId="5" borderId="0" xfId="0" applyNumberFormat="1" applyFont="1" applyFill="1" applyAlignment="1">
      <alignment horizontal="right" vertical="center" shrinkToFit="1"/>
    </xf>
    <xf numFmtId="0" fontId="5" fillId="0" borderId="0" xfId="0" applyFont="1">
      <alignment vertical="center"/>
    </xf>
    <xf numFmtId="0" fontId="5" fillId="0" borderId="0" xfId="0" applyFont="1" applyFill="1" applyBorder="1">
      <alignment vertical="center"/>
    </xf>
    <xf numFmtId="0" fontId="6" fillId="0" borderId="0" xfId="0" applyFont="1" applyFill="1" applyBorder="1">
      <alignment vertical="center"/>
    </xf>
    <xf numFmtId="0" fontId="7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left"/>
    </xf>
    <xf numFmtId="166" fontId="5" fillId="0" borderId="0" xfId="4" applyFont="1" applyFill="1" applyBorder="1">
      <alignment horizontal="right" vertical="center"/>
    </xf>
    <xf numFmtId="0" fontId="8" fillId="0" borderId="0" xfId="0" applyFont="1" applyFill="1" applyBorder="1" applyAlignment="1"/>
    <xf numFmtId="0" fontId="5" fillId="0" borderId="0" xfId="0" applyFont="1" applyBorder="1" applyAlignment="1"/>
    <xf numFmtId="169" fontId="5" fillId="0" borderId="0" xfId="5" applyNumberFormat="1" applyFont="1" applyFill="1" applyBorder="1" applyAlignment="1">
      <alignment vertical="center"/>
    </xf>
    <xf numFmtId="164" fontId="5" fillId="0" borderId="0" xfId="0" applyNumberFormat="1" applyFont="1" applyFill="1" applyBorder="1">
      <alignment vertical="center"/>
    </xf>
    <xf numFmtId="0" fontId="5" fillId="0" borderId="0" xfId="0" applyFont="1" applyFill="1" applyBorder="1" applyAlignment="1">
      <alignment horizontal="right" indent="1"/>
    </xf>
    <xf numFmtId="0" fontId="5" fillId="0" borderId="0" xfId="0" applyFont="1" applyFill="1" applyBorder="1" applyAlignment="1">
      <alignment horizontal="right"/>
    </xf>
    <xf numFmtId="0" fontId="5" fillId="0" borderId="0" xfId="0" applyFont="1" applyFill="1" applyBorder="1" applyAlignment="1">
      <alignment vertical="center" wrapText="1"/>
    </xf>
    <xf numFmtId="164" fontId="5" fillId="0" borderId="0" xfId="0" applyNumberFormat="1" applyFont="1" applyFill="1" applyBorder="1" applyAlignment="1">
      <alignment horizontal="right"/>
    </xf>
    <xf numFmtId="0" fontId="5" fillId="0" borderId="0" xfId="0" applyFont="1" applyAlignment="1"/>
    <xf numFmtId="0" fontId="5" fillId="0" borderId="0" xfId="0" applyNumberFormat="1" applyFont="1" applyFill="1" applyBorder="1" applyAlignment="1"/>
    <xf numFmtId="164" fontId="5" fillId="0" borderId="0" xfId="0" applyNumberFormat="1" applyFont="1" applyFill="1" applyBorder="1" applyAlignment="1">
      <alignment horizontal="center" vertical="center"/>
    </xf>
    <xf numFmtId="166" fontId="5" fillId="0" borderId="0" xfId="4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left" vertical="center"/>
    </xf>
    <xf numFmtId="0" fontId="9" fillId="0" borderId="0" xfId="0" applyFont="1" applyFill="1" applyBorder="1">
      <alignment vertical="center"/>
    </xf>
    <xf numFmtId="0" fontId="10" fillId="0" borderId="0" xfId="0" applyFont="1" applyFill="1" applyBorder="1">
      <alignment vertical="center"/>
    </xf>
    <xf numFmtId="0" fontId="6" fillId="0" borderId="11" xfId="0" applyFont="1" applyFill="1" applyBorder="1" applyAlignment="1">
      <alignment horizontal="left" vertical="center"/>
    </xf>
    <xf numFmtId="3" fontId="5" fillId="0" borderId="0" xfId="0" applyNumberFormat="1" applyFont="1" applyFill="1" applyBorder="1">
      <alignment vertical="center"/>
    </xf>
    <xf numFmtId="165" fontId="5" fillId="0" borderId="0" xfId="0" applyNumberFormat="1" applyFont="1" applyFill="1" applyBorder="1">
      <alignment vertical="center"/>
    </xf>
    <xf numFmtId="0" fontId="11" fillId="0" borderId="0" xfId="0" applyFont="1" applyFill="1" applyBorder="1">
      <alignment vertical="center"/>
    </xf>
    <xf numFmtId="0" fontId="12" fillId="0" borderId="0" xfId="0" applyFont="1" applyFill="1" applyBorder="1">
      <alignment vertical="center"/>
    </xf>
    <xf numFmtId="0" fontId="13" fillId="0" borderId="0" xfId="1" applyFont="1" applyAlignment="1">
      <alignment vertical="center"/>
    </xf>
    <xf numFmtId="0" fontId="14" fillId="0" borderId="0" xfId="0" applyFont="1" applyFill="1" applyBorder="1">
      <alignment vertical="center"/>
    </xf>
    <xf numFmtId="0" fontId="6" fillId="0" borderId="0" xfId="0" applyFont="1" applyFill="1" applyBorder="1" applyAlignment="1">
      <alignment wrapText="1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5" fillId="0" borderId="0" xfId="0" applyFont="1" applyFill="1">
      <alignment vertical="center"/>
    </xf>
    <xf numFmtId="164" fontId="5" fillId="0" borderId="0" xfId="0" applyNumberFormat="1" applyFont="1" applyFill="1" applyBorder="1" applyAlignment="1">
      <alignment vertical="center"/>
    </xf>
    <xf numFmtId="0" fontId="15" fillId="0" borderId="0" xfId="0" applyFont="1" applyFill="1" applyBorder="1">
      <alignment vertical="center"/>
    </xf>
    <xf numFmtId="0" fontId="6" fillId="0" borderId="0" xfId="0" applyFont="1" applyFill="1" applyBorder="1" applyAlignment="1">
      <alignment horizontal="right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wrapText="1"/>
    </xf>
    <xf numFmtId="166" fontId="5" fillId="0" borderId="0" xfId="0" applyNumberFormat="1" applyFont="1" applyFill="1" applyBorder="1" applyAlignment="1">
      <alignment horizontal="right" vertical="center"/>
    </xf>
    <xf numFmtId="0" fontId="5" fillId="0" borderId="0" xfId="0" applyFont="1" applyFill="1" applyBorder="1" applyAlignment="1">
      <alignment vertical="center"/>
    </xf>
    <xf numFmtId="0" fontId="6" fillId="0" borderId="4" xfId="0" applyFont="1" applyFill="1" applyBorder="1" applyAlignment="1">
      <alignment horizontal="left" vertical="center"/>
    </xf>
    <xf numFmtId="166" fontId="5" fillId="0" borderId="4" xfId="4" applyFont="1" applyBorder="1">
      <alignment horizontal="right" vertical="center"/>
    </xf>
    <xf numFmtId="166" fontId="5" fillId="0" borderId="1" xfId="4" applyFont="1" applyBorder="1">
      <alignment horizontal="right" vertical="center"/>
    </xf>
    <xf numFmtId="0" fontId="6" fillId="0" borderId="6" xfId="0" applyFont="1" applyFill="1" applyBorder="1" applyAlignment="1">
      <alignment horizontal="left" vertical="center"/>
    </xf>
    <xf numFmtId="166" fontId="5" fillId="0" borderId="6" xfId="4" applyFont="1" applyBorder="1">
      <alignment horizontal="right" vertical="center"/>
    </xf>
    <xf numFmtId="167" fontId="5" fillId="0" borderId="0" xfId="0" applyNumberFormat="1" applyFont="1" applyFill="1" applyBorder="1" applyAlignment="1">
      <alignment horizontal="right" vertical="center"/>
    </xf>
    <xf numFmtId="0" fontId="16" fillId="0" borderId="8" xfId="0" applyFont="1" applyBorder="1" applyAlignment="1">
      <alignment horizontal="left" wrapText="1"/>
    </xf>
    <xf numFmtId="166" fontId="5" fillId="0" borderId="8" xfId="4" applyFont="1" applyBorder="1">
      <alignment horizontal="right" vertical="center"/>
    </xf>
    <xf numFmtId="165" fontId="5" fillId="0" borderId="0" xfId="0" applyNumberFormat="1" applyFont="1" applyFill="1" applyBorder="1" applyAlignment="1">
      <alignment horizontal="right" vertical="center"/>
    </xf>
    <xf numFmtId="0" fontId="5" fillId="0" borderId="0" xfId="0" applyFont="1" applyFill="1" applyBorder="1" applyAlignment="1">
      <alignment horizontal="right" vertical="center"/>
    </xf>
    <xf numFmtId="3" fontId="5" fillId="5" borderId="0" xfId="0" applyNumberFormat="1" applyFont="1" applyFill="1" applyAlignment="1">
      <alignment horizontal="right" vertical="center" shrinkToFit="1"/>
    </xf>
    <xf numFmtId="164" fontId="5" fillId="0" borderId="0" xfId="5" applyNumberFormat="1" applyFont="1" applyFill="1" applyBorder="1" applyAlignment="1">
      <alignment vertical="center"/>
    </xf>
    <xf numFmtId="3" fontId="5" fillId="0" borderId="0" xfId="0" applyNumberFormat="1" applyFont="1" applyAlignment="1">
      <alignment horizontal="right" vertical="center" shrinkToFit="1"/>
    </xf>
    <xf numFmtId="169" fontId="5" fillId="0" borderId="0" xfId="5" applyNumberFormat="1" applyFont="1" applyFill="1" applyBorder="1" applyAlignment="1">
      <alignment horizontal="right" vertical="center"/>
    </xf>
    <xf numFmtId="3" fontId="5" fillId="0" borderId="0" xfId="0" applyNumberFormat="1" applyFont="1" applyFill="1" applyBorder="1" applyAlignment="1">
      <alignment horizontal="right" vertical="center" shrinkToFit="1"/>
    </xf>
    <xf numFmtId="171" fontId="5" fillId="0" borderId="0" xfId="0" applyNumberFormat="1" applyFont="1" applyAlignment="1">
      <alignment horizontal="right" vertical="center" shrinkToFit="1"/>
    </xf>
    <xf numFmtId="172" fontId="5" fillId="0" borderId="0" xfId="0" applyNumberFormat="1" applyFont="1" applyAlignment="1">
      <alignment horizontal="right" vertical="center" shrinkToFit="1"/>
    </xf>
    <xf numFmtId="171" fontId="5" fillId="5" borderId="0" xfId="0" applyNumberFormat="1" applyFont="1" applyFill="1" applyAlignment="1">
      <alignment horizontal="right" vertical="center" shrinkToFit="1"/>
    </xf>
    <xf numFmtId="0" fontId="6" fillId="0" borderId="9" xfId="0" applyFont="1" applyFill="1" applyBorder="1" applyAlignment="1">
      <alignment horizontal="center" vertical="center"/>
    </xf>
    <xf numFmtId="168" fontId="5" fillId="0" borderId="4" xfId="4" applyNumberFormat="1" applyFont="1" applyBorder="1">
      <alignment horizontal="right" vertical="center"/>
    </xf>
    <xf numFmtId="0" fontId="6" fillId="0" borderId="5" xfId="0" applyFont="1" applyFill="1" applyBorder="1" applyAlignment="1">
      <alignment horizontal="left" vertical="center"/>
    </xf>
    <xf numFmtId="168" fontId="5" fillId="0" borderId="5" xfId="4" applyNumberFormat="1" applyFont="1" applyBorder="1">
      <alignment horizontal="right" vertical="center"/>
    </xf>
    <xf numFmtId="166" fontId="5" fillId="0" borderId="5" xfId="4" applyFont="1" applyBorder="1">
      <alignment horizontal="right" vertical="center"/>
    </xf>
    <xf numFmtId="1" fontId="5" fillId="0" borderId="0" xfId="0" applyNumberFormat="1" applyFont="1" applyFill="1" applyBorder="1">
      <alignment vertical="center"/>
    </xf>
    <xf numFmtId="3" fontId="5" fillId="5" borderId="0" xfId="0" applyNumberFormat="1" applyFont="1" applyFill="1" applyBorder="1" applyAlignment="1">
      <alignment horizontal="right" vertical="center" shrinkToFit="1"/>
    </xf>
    <xf numFmtId="169" fontId="5" fillId="0" borderId="0" xfId="0" applyNumberFormat="1" applyFont="1" applyAlignment="1">
      <alignment horizontal="right" vertical="center" shrinkToFit="1"/>
    </xf>
    <xf numFmtId="0" fontId="6" fillId="4" borderId="10" xfId="0" applyFont="1" applyFill="1" applyBorder="1" applyAlignment="1">
      <alignment horizontal="left" vertical="center"/>
    </xf>
    <xf numFmtId="0" fontId="5" fillId="0" borderId="0" xfId="3" applyFont="1"/>
    <xf numFmtId="164" fontId="5" fillId="0" borderId="0" xfId="3" applyNumberFormat="1" applyFont="1"/>
    <xf numFmtId="165" fontId="5" fillId="0" borderId="0" xfId="0" applyNumberFormat="1" applyFont="1" applyFill="1" applyBorder="1" applyAlignment="1">
      <alignment horizontal="right"/>
    </xf>
    <xf numFmtId="164" fontId="5" fillId="0" borderId="0" xfId="3" applyNumberFormat="1" applyFont="1" applyBorder="1"/>
    <xf numFmtId="0" fontId="5" fillId="0" borderId="7" xfId="3" applyFont="1" applyBorder="1"/>
    <xf numFmtId="164" fontId="5" fillId="0" borderId="7" xfId="3" applyNumberFormat="1" applyFont="1" applyBorder="1"/>
    <xf numFmtId="170" fontId="5" fillId="0" borderId="0" xfId="0" applyNumberFormat="1" applyFont="1" applyFill="1" applyBorder="1" applyAlignment="1"/>
    <xf numFmtId="3" fontId="5" fillId="0" borderId="0" xfId="0" applyNumberFormat="1" applyFont="1" applyFill="1" applyBorder="1" applyAlignment="1"/>
    <xf numFmtId="173" fontId="5" fillId="0" borderId="0" xfId="0" applyNumberFormat="1" applyFont="1" applyAlignment="1"/>
    <xf numFmtId="164" fontId="5" fillId="0" borderId="0" xfId="0" applyNumberFormat="1" applyFont="1" applyAlignment="1"/>
    <xf numFmtId="171" fontId="5" fillId="0" borderId="0" xfId="0" applyNumberFormat="1" applyFont="1" applyFill="1" applyBorder="1" applyAlignment="1"/>
    <xf numFmtId="172" fontId="5" fillId="0" borderId="0" xfId="0" applyNumberFormat="1" applyFont="1" applyFill="1" applyBorder="1" applyAlignment="1">
      <alignment horizontal="right" vertical="center" shrinkToFit="1"/>
    </xf>
    <xf numFmtId="171" fontId="5" fillId="0" borderId="0" xfId="0" applyNumberFormat="1" applyFont="1" applyFill="1" applyBorder="1" applyAlignment="1">
      <alignment horizontal="right" vertical="center" shrinkToFit="1"/>
    </xf>
    <xf numFmtId="0" fontId="8" fillId="0" borderId="0" xfId="0" applyFont="1" applyFill="1" applyBorder="1" applyAlignment="1">
      <alignment horizontal="left"/>
    </xf>
    <xf numFmtId="0" fontId="6" fillId="3" borderId="11" xfId="0" applyFont="1" applyFill="1" applyBorder="1" applyAlignment="1">
      <alignment horizontal="left" vertical="center"/>
    </xf>
    <xf numFmtId="166" fontId="5" fillId="3" borderId="11" xfId="4" applyFont="1" applyFill="1" applyBorder="1">
      <alignment horizontal="right" vertical="center"/>
    </xf>
    <xf numFmtId="0" fontId="6" fillId="0" borderId="1" xfId="0" applyFont="1" applyFill="1" applyBorder="1" applyAlignment="1">
      <alignment horizontal="left" vertical="center"/>
    </xf>
    <xf numFmtId="168" fontId="5" fillId="0" borderId="1" xfId="4" applyNumberFormat="1" applyFont="1" applyBorder="1">
      <alignment horizontal="right" vertical="center"/>
    </xf>
    <xf numFmtId="0" fontId="6" fillId="0" borderId="0" xfId="3" applyFont="1" applyAlignment="1">
      <alignment horizontal="left"/>
    </xf>
    <xf numFmtId="0" fontId="6" fillId="0" borderId="0" xfId="0" applyNumberFormat="1" applyFont="1" applyFill="1" applyBorder="1" applyAlignment="1">
      <alignment horizontal="left"/>
    </xf>
    <xf numFmtId="0" fontId="15" fillId="0" borderId="0" xfId="0" applyFont="1" applyFill="1" applyBorder="1" applyAlignment="1">
      <alignment horizontal="left" vertical="center"/>
    </xf>
    <xf numFmtId="0" fontId="8" fillId="0" borderId="0" xfId="0" applyFont="1" applyAlignment="1"/>
    <xf numFmtId="0" fontId="6" fillId="3" borderId="3" xfId="0" applyFont="1" applyFill="1" applyBorder="1" applyAlignment="1">
      <alignment horizontal="left" vertical="center"/>
    </xf>
    <xf numFmtId="166" fontId="5" fillId="3" borderId="3" xfId="4" applyFont="1" applyFill="1" applyBorder="1">
      <alignment horizontal="right" vertical="center"/>
    </xf>
    <xf numFmtId="0" fontId="6" fillId="2" borderId="2" xfId="0" applyFont="1" applyFill="1" applyBorder="1" applyAlignment="1">
      <alignment horizontal="center" vertical="center"/>
    </xf>
    <xf numFmtId="0" fontId="17" fillId="0" borderId="0" xfId="0" applyFont="1" applyFill="1" applyBorder="1" applyAlignment="1">
      <alignment horizontal="left"/>
    </xf>
    <xf numFmtId="0" fontId="4" fillId="0" borderId="0" xfId="0" applyFont="1" applyFill="1" applyBorder="1" applyAlignment="1">
      <alignment horizontal="left"/>
    </xf>
    <xf numFmtId="0" fontId="6" fillId="2" borderId="3" xfId="0" applyNumberFormat="1" applyFont="1" applyFill="1" applyBorder="1" applyAlignment="1">
      <alignment horizontal="center" vertical="center"/>
    </xf>
    <xf numFmtId="0" fontId="6" fillId="0" borderId="0" xfId="0" applyFont="1" applyBorder="1" applyAlignment="1">
      <alignment horizontal="left"/>
    </xf>
    <xf numFmtId="0" fontId="6" fillId="0" borderId="0" xfId="0" applyFont="1" applyFill="1" applyBorder="1" applyAlignment="1">
      <alignment horizontal="left" vertical="center" wrapText="1"/>
    </xf>
    <xf numFmtId="0" fontId="2" fillId="0" borderId="0" xfId="1" applyAlignment="1">
      <alignment vertical="center"/>
    </xf>
    <xf numFmtId="22" fontId="5" fillId="0" borderId="0" xfId="0" applyNumberFormat="1" applyFont="1" applyAlignment="1">
      <alignment horizontal="left" vertical="center"/>
    </xf>
    <xf numFmtId="164" fontId="5" fillId="6" borderId="0" xfId="0" applyNumberFormat="1" applyFont="1" applyFill="1" applyBorder="1">
      <alignment vertical="center"/>
    </xf>
    <xf numFmtId="3" fontId="5" fillId="0" borderId="0" xfId="0" applyNumberFormat="1" applyFont="1" applyFill="1" applyAlignment="1">
      <alignment horizontal="right" vertical="center" shrinkToFit="1"/>
    </xf>
    <xf numFmtId="0" fontId="18" fillId="0" borderId="0" xfId="0" applyFont="1" applyAlignment="1">
      <alignment horizontal="left" vertical="center"/>
    </xf>
    <xf numFmtId="0" fontId="0" fillId="0" borderId="0" xfId="0" applyAlignment="1"/>
    <xf numFmtId="0" fontId="19" fillId="0" borderId="0" xfId="0" applyFont="1" applyAlignment="1">
      <alignment horizontal="left" vertical="center"/>
    </xf>
    <xf numFmtId="0" fontId="20" fillId="7" borderId="9" xfId="0" applyFont="1" applyFill="1" applyBorder="1" applyAlignment="1">
      <alignment horizontal="right" vertical="center"/>
    </xf>
    <xf numFmtId="0" fontId="20" fillId="7" borderId="9" xfId="0" applyFont="1" applyFill="1" applyBorder="1" applyAlignment="1">
      <alignment horizontal="left" vertical="center"/>
    </xf>
    <xf numFmtId="0" fontId="19" fillId="8" borderId="9" xfId="0" applyFont="1" applyFill="1" applyBorder="1" applyAlignment="1">
      <alignment horizontal="left" vertical="center"/>
    </xf>
    <xf numFmtId="0" fontId="0" fillId="9" borderId="0" xfId="0" applyFill="1" applyAlignment="1"/>
    <xf numFmtId="0" fontId="19" fillId="4" borderId="9" xfId="0" applyFont="1" applyFill="1" applyBorder="1" applyAlignment="1">
      <alignment horizontal="left" vertical="center"/>
    </xf>
    <xf numFmtId="172" fontId="18" fillId="5" borderId="0" xfId="0" applyNumberFormat="1" applyFont="1" applyFill="1" applyAlignment="1">
      <alignment horizontal="right" vertical="center" shrinkToFit="1"/>
    </xf>
    <xf numFmtId="3" fontId="18" fillId="5" borderId="0" xfId="0" applyNumberFormat="1" applyFont="1" applyFill="1" applyAlignment="1">
      <alignment horizontal="right" vertical="center" shrinkToFit="1"/>
    </xf>
    <xf numFmtId="171" fontId="18" fillId="5" borderId="0" xfId="0" applyNumberFormat="1" applyFont="1" applyFill="1" applyAlignment="1">
      <alignment horizontal="right" vertical="center" shrinkToFit="1"/>
    </xf>
  </cellXfs>
  <cellStyles count="6">
    <cellStyle name="Hyperlink" xfId="1" builtinId="8"/>
    <cellStyle name="Normal" xfId="0" builtinId="0" customBuiltin="1"/>
    <cellStyle name="Normal 2" xfId="2" xr:uid="{00000000-0005-0000-0000-000002000000}"/>
    <cellStyle name="Normal 3" xfId="3" xr:uid="{00000000-0005-0000-0000-000003000000}"/>
    <cellStyle name="NumberCellStyle" xfId="4" xr:uid="{00000000-0005-0000-0000-000004000000}"/>
    <cellStyle name="Percent" xfId="5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7A85C2"/>
      <rgbColor rgb="00FF0000"/>
      <rgbColor rgb="004D4D4D"/>
      <rgbColor rgb="00FF0000"/>
      <rgbColor rgb="00000000"/>
      <rgbColor rgb="00FF0000"/>
      <rgbColor rgb="00FF0000"/>
      <rgbColor rgb="00FF0000"/>
      <rgbColor rgb="00BDD52F"/>
      <rgbColor rgb="00E2EBAC"/>
      <rgbColor rgb="00FFFFFF"/>
      <rgbColor rgb="00D6E387"/>
      <rgbColor rgb="00C0C0C0"/>
      <rgbColor rgb="00F5F8E7"/>
      <rgbColor rgb="00FF0000"/>
      <rgbColor rgb="0000FF00"/>
      <rgbColor rgb="00F5F28C"/>
      <rgbColor rgb="0040A600"/>
      <rgbColor rgb="00661900"/>
      <rgbColor rgb="00B22600"/>
      <rgbColor rgb="00B2FF00"/>
      <rgbColor rgb="00FF0000"/>
      <rgbColor rgb="00FF0000"/>
      <rgbColor rgb="00FF0000"/>
      <rgbColor rgb="00FF0000"/>
      <rgbColor rgb="00FF0000"/>
      <rgbColor rgb="00FF0000"/>
      <rgbColor rgb="00FF0000"/>
      <rgbColor rgb="00FF0000"/>
      <rgbColor rgb="00FF0000"/>
      <rgbColor rgb="00FF0000"/>
      <rgbColor rgb="00FF0000"/>
      <rgbColor rgb="00FF0000"/>
      <rgbColor rgb="00FF0000"/>
      <rgbColor rgb="00FF0000"/>
      <rgbColor rgb="00FF0000"/>
      <rgbColor rgb="00FF0000"/>
      <rgbColor rgb="00FF0000"/>
      <rgbColor rgb="00FF0000"/>
      <rgbColor rgb="00FF0000"/>
      <rgbColor rgb="00B2B2B2"/>
      <rgbColor rgb="00969696"/>
      <rgbColor rgb="00777777"/>
      <rgbColor rgb="00FF0000"/>
      <rgbColor rgb="005F5F5F"/>
      <rgbColor rgb="00CADD5C"/>
      <rgbColor rgb="0000FF00"/>
      <rgbColor rgb="00EAEAEA"/>
      <rgbColor rgb="00DEDFEF"/>
      <rgbColor rgb="00808080"/>
      <rgbColor rgb="00C2C5E2"/>
      <rgbColor rgb="00A8AED9"/>
      <rgbColor rgb="009199CA"/>
      <rgbColor rgb="00FF0000"/>
      <rgbColor rgb="00000000"/>
      <rgbColor rgb="00FF00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sz="1800" b="1">
                <a:latin typeface="Arial"/>
                <a:ea typeface="Arial"/>
                <a:cs typeface="Arial"/>
              </a:defRPr>
            </a:pPr>
            <a:r>
              <a:rPr lang="en-US"/>
              <a:t>Net electricity generation, EU, 1990-202</a:t>
            </a:r>
            <a:r>
              <a:rPr lang="hr-HR"/>
              <a:t>3</a:t>
            </a:r>
            <a:endParaRPr lang="en-US"/>
          </a:p>
          <a:p>
            <a:pPr algn="l">
              <a:defRPr sz="1800" b="1">
                <a:latin typeface="Arial"/>
                <a:ea typeface="Arial"/>
                <a:cs typeface="Arial"/>
              </a:defRPr>
            </a:pPr>
            <a:r>
              <a:rPr lang="en-US" sz="1600" b="0"/>
              <a:t>(TWh)</a:t>
            </a:r>
          </a:p>
        </c:rich>
      </c:tx>
      <c:layout>
        <c:manualLayout>
          <c:xMode val="edge"/>
          <c:yMode val="edge"/>
          <c:x val="5.3333333333333332E-3"/>
          <c:y val="8.665546741413262E-3"/>
        </c:manualLayout>
      </c:layout>
      <c:overlay val="0"/>
    </c:title>
    <c:autoTitleDeleted val="0"/>
    <c:plotArea>
      <c:layout>
        <c:manualLayout>
          <c:xMode val="edge"/>
          <c:yMode val="edge"/>
          <c:x val="1.4666666666666666E-2"/>
          <c:y val="0.12803345310438094"/>
          <c:w val="0.97066666666666668"/>
          <c:h val="0.69411489969117912"/>
        </c:manualLayout>
      </c:layout>
      <c:lineChart>
        <c:grouping val="standard"/>
        <c:varyColors val="0"/>
        <c:ser>
          <c:idx val="1"/>
          <c:order val="0"/>
          <c:tx>
            <c:strRef>
              <c:f>'Figure 1'!$C$11</c:f>
              <c:strCache>
                <c:ptCount val="1"/>
                <c:pt idx="0">
                  <c:v>Net generation</c:v>
                </c:pt>
              </c:strCache>
            </c:strRef>
          </c:tx>
          <c:spPr>
            <a:ln w="28575" cap="rnd" cmpd="sng" algn="ctr">
              <a:solidFill>
                <a:srgbClr val="2644A7">
                  <a:lumMod val="100000"/>
                </a:srgbClr>
              </a:solidFill>
              <a:prstDash val="solid"/>
              <a:round/>
              <a:headEnd type="none" w="med" len="med"/>
              <a:tailEnd type="none" w="med" len="med"/>
            </a:ln>
          </c:spPr>
          <c:marker>
            <c:symbol val="square"/>
            <c:size val="5"/>
            <c:spPr>
              <a:solidFill>
                <a:srgbClr val="2644A7"/>
              </a:solidFill>
              <a:ln w="28575">
                <a:solidFill>
                  <a:srgbClr val="2644A7"/>
                </a:solidFill>
                <a:prstDash val="solid"/>
              </a:ln>
            </c:spPr>
          </c:marker>
          <c:cat>
            <c:numRef>
              <c:f>'Figure 1'!$D$10:$AK$10</c:f>
              <c:numCache>
                <c:formatCode>General</c:formatCode>
                <c:ptCount val="34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</c:numCache>
            </c:numRef>
          </c:cat>
          <c:val>
            <c:numRef>
              <c:f>'Figure 1'!$D$11:$AK$11</c:f>
              <c:numCache>
                <c:formatCode>0.00</c:formatCode>
                <c:ptCount val="34"/>
                <c:pt idx="0">
                  <c:v>2132.4265959999998</c:v>
                </c:pt>
                <c:pt idx="1">
                  <c:v>2173.2441209999997</c:v>
                </c:pt>
                <c:pt idx="2">
                  <c:v>2164.3660669999999</c:v>
                </c:pt>
                <c:pt idx="3">
                  <c:v>2166.3763280000003</c:v>
                </c:pt>
                <c:pt idx="4">
                  <c:v>2201.616751</c:v>
                </c:pt>
                <c:pt idx="5">
                  <c:v>2268.0704679999999</c:v>
                </c:pt>
                <c:pt idx="6">
                  <c:v>2349.73506</c:v>
                </c:pt>
                <c:pt idx="7">
                  <c:v>2363.8654280000001</c:v>
                </c:pt>
                <c:pt idx="8">
                  <c:v>2416.847448</c:v>
                </c:pt>
                <c:pt idx="9">
                  <c:v>2441.6042000000002</c:v>
                </c:pt>
                <c:pt idx="10">
                  <c:v>2512.624499</c:v>
                </c:pt>
                <c:pt idx="11">
                  <c:v>2587.5212750000001</c:v>
                </c:pt>
                <c:pt idx="12">
                  <c:v>2606.1263210000002</c:v>
                </c:pt>
                <c:pt idx="13">
                  <c:v>2684.3788300000001</c:v>
                </c:pt>
                <c:pt idx="14">
                  <c:v>2755.1634210000002</c:v>
                </c:pt>
                <c:pt idx="15">
                  <c:v>2772.0625750000004</c:v>
                </c:pt>
                <c:pt idx="16">
                  <c:v>2816.251154</c:v>
                </c:pt>
                <c:pt idx="17">
                  <c:v>2829.6741779999998</c:v>
                </c:pt>
                <c:pt idx="18">
                  <c:v>2843.5753369999998</c:v>
                </c:pt>
                <c:pt idx="19">
                  <c:v>2696.338268</c:v>
                </c:pt>
                <c:pt idx="20">
                  <c:v>2831.5459460000002</c:v>
                </c:pt>
                <c:pt idx="21">
                  <c:v>2788.784357</c:v>
                </c:pt>
                <c:pt idx="22">
                  <c:v>2786.99055</c:v>
                </c:pt>
                <c:pt idx="23">
                  <c:v>2774.2810509999999</c:v>
                </c:pt>
                <c:pt idx="24">
                  <c:v>2716.8693670000002</c:v>
                </c:pt>
                <c:pt idx="25">
                  <c:v>2760.9852940000001</c:v>
                </c:pt>
                <c:pt idx="26">
                  <c:v>2784.1303369999996</c:v>
                </c:pt>
                <c:pt idx="27">
                  <c:v>2814.99224</c:v>
                </c:pt>
                <c:pt idx="28">
                  <c:v>2802.2218930000004</c:v>
                </c:pt>
                <c:pt idx="29">
                  <c:v>2775.8249519999999</c:v>
                </c:pt>
                <c:pt idx="30">
                  <c:v>2667.3206349999996</c:v>
                </c:pt>
                <c:pt idx="31">
                  <c:v>2788.6557189999999</c:v>
                </c:pt>
                <c:pt idx="32">
                  <c:v>2698.3767000000003</c:v>
                </c:pt>
                <c:pt idx="33" formatCode="General">
                  <c:v>2636.97579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7BC-4363-A39E-0C2984800B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613464"/>
        <c:axId val="7611504"/>
      </c:lineChart>
      <c:catAx>
        <c:axId val="76134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>
            <a:solidFill>
              <a:srgbClr val="000000"/>
            </a:solidFill>
            <a:prstDash val="solid"/>
          </a:ln>
        </c:spPr>
        <c:txPr>
          <a:bodyPr rot="-3600000" vert="horz"/>
          <a:lstStyle/>
          <a:p>
            <a:pPr>
              <a:defRPr/>
            </a:pPr>
            <a:endParaRPr lang="en-US"/>
          </a:p>
        </c:txPr>
        <c:crossAx val="7611504"/>
        <c:crosses val="autoZero"/>
        <c:auto val="1"/>
        <c:lblAlgn val="ctr"/>
        <c:lblOffset val="100"/>
        <c:tickMarkSkip val="1"/>
        <c:noMultiLvlLbl val="0"/>
      </c:catAx>
      <c:valAx>
        <c:axId val="7611504"/>
        <c:scaling>
          <c:orientation val="minMax"/>
          <c:min val="2000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#\ ##0_i" sourceLinked="0"/>
        <c:majorTickMark val="none"/>
        <c:minorTickMark val="none"/>
        <c:tickLblPos val="nextTo"/>
        <c:spPr>
          <a:ln w="9525">
            <a:noFill/>
          </a:ln>
          <a:extLst>
            <a:ext uri="{91240B29-F687-4F45-9708-019B960494DF}">
              <a14:hiddenLine xmlns:a14="http://schemas.microsoft.com/office/drawing/2010/main" w="9525" cap="flat" cmpd="sng" algn="ctr">
                <a:solidFill>
                  <a:sysClr val="windowText" lastClr="000000">
                    <a:tint val="75000"/>
                    <a:shade val="95000"/>
                    <a:satMod val="105000"/>
                  </a:sysClr>
                </a:solidFill>
                <a:prstDash val="solid"/>
                <a:round/>
              </a14:hiddenLine>
            </a:ext>
          </a:extLst>
        </c:spPr>
        <c:crossAx val="7613464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41358771653543314"/>
          <c:y val="0.84597860633444644"/>
          <c:w val="0.17282456692913384"/>
          <c:h val="4.1759065048915994E-2"/>
        </c:manualLayout>
      </c:layout>
      <c:overlay val="0"/>
      <c:txPr>
        <a:bodyPr/>
        <a:lstStyle/>
        <a:p>
          <a:pPr>
            <a:defRPr b="1"/>
          </a:pPr>
          <a:endParaRPr lang="en-US"/>
        </a:p>
      </c:txPr>
    </c:legend>
    <c:plotVisOnly val="1"/>
    <c:dispBlanksAs val="gap"/>
    <c:showDLblsOverMax val="0"/>
  </c:chart>
  <c:spPr>
    <a:solidFill>
      <a:sysClr val="window" lastClr="FFFFFF"/>
    </a:solidFill>
    <a:ln w="9525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txPr>
    <a:bodyPr/>
    <a:lstStyle/>
    <a:p>
      <a:pPr>
        <a:defRPr sz="120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sz="1800" b="1">
                <a:latin typeface="Arial"/>
                <a:ea typeface="Arial"/>
                <a:cs typeface="Arial"/>
              </a:defRPr>
            </a:pPr>
            <a:r>
              <a:rPr lang="en-US"/>
              <a:t>Overall change in net electricity generation, 201</a:t>
            </a:r>
            <a:r>
              <a:rPr lang="hr-HR"/>
              <a:t>3</a:t>
            </a:r>
            <a:r>
              <a:rPr lang="en-US"/>
              <a:t>-202</a:t>
            </a:r>
            <a:r>
              <a:rPr lang="hr-HR"/>
              <a:t>3</a:t>
            </a:r>
          </a:p>
          <a:p>
            <a:pPr algn="l">
              <a:defRPr sz="1800" b="1">
                <a:latin typeface="Arial"/>
                <a:ea typeface="Arial"/>
                <a:cs typeface="Arial"/>
              </a:defRPr>
            </a:pPr>
            <a:endParaRPr lang="en-US"/>
          </a:p>
          <a:p>
            <a:pPr algn="l">
              <a:defRPr sz="1800" b="1">
                <a:latin typeface="Arial"/>
                <a:ea typeface="Arial"/>
                <a:cs typeface="Arial"/>
              </a:defRPr>
            </a:pPr>
            <a:r>
              <a:rPr lang="en-US" sz="1600" b="0"/>
              <a:t>(%, based on GWh)</a:t>
            </a:r>
          </a:p>
        </c:rich>
      </c:tx>
      <c:layout>
        <c:manualLayout>
          <c:xMode val="edge"/>
          <c:yMode val="edge"/>
          <c:x val="7.7620425067650503E-3"/>
          <c:y val="8.8762442046390888E-3"/>
        </c:manualLayout>
      </c:layout>
      <c:overlay val="0"/>
    </c:title>
    <c:autoTitleDeleted val="0"/>
    <c:plotArea>
      <c:layout>
        <c:manualLayout>
          <c:xMode val="edge"/>
          <c:yMode val="edge"/>
          <c:x val="1.4660802345728375E-2"/>
          <c:y val="0.13114644677820442"/>
          <c:w val="0.96987871518059443"/>
          <c:h val="0.7610397362009413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2644A7">
                <a:lumMod val="100000"/>
              </a:srgbClr>
            </a:solidFill>
          </c:spPr>
          <c:invertIfNegative val="0"/>
          <c:cat>
            <c:strRef>
              <c:f>'Figure 2'!$C$11:$C$50</c:f>
              <c:strCache>
                <c:ptCount val="40"/>
                <c:pt idx="0">
                  <c:v>EU</c:v>
                </c:pt>
                <c:pt idx="2">
                  <c:v>Lithuania</c:v>
                </c:pt>
                <c:pt idx="3">
                  <c:v>Croatia</c:v>
                </c:pt>
                <c:pt idx="4">
                  <c:v>Cyprus</c:v>
                </c:pt>
                <c:pt idx="5">
                  <c:v>Ireland</c:v>
                </c:pt>
                <c:pt idx="6">
                  <c:v>Netherlands</c:v>
                </c:pt>
                <c:pt idx="7">
                  <c:v>Hungary</c:v>
                </c:pt>
                <c:pt idx="8">
                  <c:v>Finland</c:v>
                </c:pt>
                <c:pt idx="9">
                  <c:v>Austria</c:v>
                </c:pt>
                <c:pt idx="10">
                  <c:v>Sweden</c:v>
                </c:pt>
                <c:pt idx="11">
                  <c:v>Malta</c:v>
                </c:pt>
                <c:pt idx="12">
                  <c:v>Latvia</c:v>
                </c:pt>
                <c:pt idx="13">
                  <c:v>Poland</c:v>
                </c:pt>
                <c:pt idx="14">
                  <c:v>Spain</c:v>
                </c:pt>
                <c:pt idx="15">
                  <c:v>Belgium</c:v>
                </c:pt>
                <c:pt idx="16">
                  <c:v>Slovenia</c:v>
                </c:pt>
                <c:pt idx="17">
                  <c:v>Slovakia</c:v>
                </c:pt>
                <c:pt idx="18">
                  <c:v>Denmark</c:v>
                </c:pt>
                <c:pt idx="19">
                  <c:v>Romania</c:v>
                </c:pt>
                <c:pt idx="20">
                  <c:v>Portugal</c:v>
                </c:pt>
                <c:pt idx="21">
                  <c:v>Greece</c:v>
                </c:pt>
                <c:pt idx="22">
                  <c:v>Bulgaria</c:v>
                </c:pt>
                <c:pt idx="23">
                  <c:v>Italy</c:v>
                </c:pt>
                <c:pt idx="24">
                  <c:v>France</c:v>
                </c:pt>
                <c:pt idx="25">
                  <c:v>Czechia</c:v>
                </c:pt>
                <c:pt idx="26">
                  <c:v>Luxembourg</c:v>
                </c:pt>
                <c:pt idx="27">
                  <c:v>Germany</c:v>
                </c:pt>
                <c:pt idx="28">
                  <c:v>Estonia</c:v>
                </c:pt>
                <c:pt idx="30">
                  <c:v>Norway</c:v>
                </c:pt>
                <c:pt idx="32">
                  <c:v>Georgia</c:v>
                </c:pt>
                <c:pt idx="33">
                  <c:v>Türkiye</c:v>
                </c:pt>
                <c:pt idx="34">
                  <c:v>Moldova</c:v>
                </c:pt>
                <c:pt idx="35">
                  <c:v>Albania</c:v>
                </c:pt>
                <c:pt idx="36">
                  <c:v>North Macedonia</c:v>
                </c:pt>
                <c:pt idx="37">
                  <c:v>Montenegro</c:v>
                </c:pt>
                <c:pt idx="38">
                  <c:v>Serbia</c:v>
                </c:pt>
                <c:pt idx="39">
                  <c:v>Kosovo*</c:v>
                </c:pt>
              </c:strCache>
            </c:strRef>
          </c:cat>
          <c:val>
            <c:numRef>
              <c:f>'Figure 2'!$D$11:$D$50</c:f>
              <c:numCache>
                <c:formatCode>General</c:formatCode>
                <c:ptCount val="40"/>
                <c:pt idx="0" formatCode="#\,##0.0_i">
                  <c:v>-4.9000000000000004</c:v>
                </c:pt>
                <c:pt idx="2" formatCode="#\,##0.0_i">
                  <c:v>28.193664345090987</c:v>
                </c:pt>
                <c:pt idx="3" formatCode="#\,##0.0_i">
                  <c:v>24.471449487554906</c:v>
                </c:pt>
                <c:pt idx="4" formatCode="#\,##0.0_i">
                  <c:v>23.498808611981371</c:v>
                </c:pt>
                <c:pt idx="5" formatCode="#\,##0.0_i">
                  <c:v>23.385060893042752</c:v>
                </c:pt>
                <c:pt idx="6" formatCode="#\,##0.0_i">
                  <c:v>20.609714198560237</c:v>
                </c:pt>
                <c:pt idx="7" formatCode="#\,##0.0_i">
                  <c:v>20.432813670578987</c:v>
                </c:pt>
                <c:pt idx="8" formatCode="#\,##0.0_i">
                  <c:v>14.552397114976667</c:v>
                </c:pt>
                <c:pt idx="9" formatCode="#\,##0.0_i">
                  <c:v>11.401295831963409</c:v>
                </c:pt>
                <c:pt idx="10" formatCode="#\,##0.0_i">
                  <c:v>9.0745558014966079</c:v>
                </c:pt>
                <c:pt idx="11" formatCode="#\,##0.0_i">
                  <c:v>7.4364529714552985</c:v>
                </c:pt>
                <c:pt idx="12" formatCode="#\,##0.0_i">
                  <c:v>5.7790578786839131</c:v>
                </c:pt>
                <c:pt idx="13" formatCode="#\,##0.0_i">
                  <c:v>4.3899766123175032</c:v>
                </c:pt>
                <c:pt idx="14" formatCode="#\,##0.0_i">
                  <c:v>0.6207357325189955</c:v>
                </c:pt>
                <c:pt idx="15" formatCode="#\,##0.0_i">
                  <c:v>0.50276226580521222</c:v>
                </c:pt>
                <c:pt idx="16" formatCode="#\,##0.0_i">
                  <c:v>0.10197790566910392</c:v>
                </c:pt>
                <c:pt idx="17" formatCode="#\,##0.0_i">
                  <c:v>-1.1040777270721058E-2</c:v>
                </c:pt>
                <c:pt idx="18" formatCode="#\,##0.0_i">
                  <c:v>-0.75256523272110298</c:v>
                </c:pt>
                <c:pt idx="19" formatCode="#\,##0.0_i">
                  <c:v>-1.599519710348396</c:v>
                </c:pt>
                <c:pt idx="20" formatCode="#\,##0.0_i">
                  <c:v>-3.8627114041633548</c:v>
                </c:pt>
                <c:pt idx="21" formatCode="#\,##0.0_i">
                  <c:v>-6.0370509893455164</c:v>
                </c:pt>
                <c:pt idx="22" formatCode="#\,##0.0_i">
                  <c:v>-7.3422369444653519</c:v>
                </c:pt>
                <c:pt idx="23" formatCode="#\,##0.0_i">
                  <c:v>-7.9844529524641716</c:v>
                </c:pt>
                <c:pt idx="24" formatCode="#\,##0.0_i">
                  <c:v>-9.8340406532764657</c:v>
                </c:pt>
                <c:pt idx="25" formatCode="#\,##0.0_i">
                  <c:v>-10.933178735725836</c:v>
                </c:pt>
                <c:pt idx="26" formatCode="#\,##0.0_i">
                  <c:v>-12.440702580681041</c:v>
                </c:pt>
                <c:pt idx="27" formatCode="#\,##0.0_i">
                  <c:v>-18.708476251651618</c:v>
                </c:pt>
                <c:pt idx="28" formatCode="#\,##0.0_i">
                  <c:v>-58.546054300938842</c:v>
                </c:pt>
                <c:pt idx="30" formatCode="#\,##0.0_i">
                  <c:v>15.52345731730156</c:v>
                </c:pt>
                <c:pt idx="32" formatCode="#\,##0.0_i">
                  <c:v>43.27962474645031</c:v>
                </c:pt>
                <c:pt idx="33" formatCode="#\,##0.0_i">
                  <c:v>37.545249086152751</c:v>
                </c:pt>
                <c:pt idx="34" formatCode="#\,##0.0_i">
                  <c:v>36.081946222791281</c:v>
                </c:pt>
                <c:pt idx="35" formatCode="#\,##0.0_i">
                  <c:v>27.76599999999998</c:v>
                </c:pt>
                <c:pt idx="36" formatCode="#\,##0.0_i">
                  <c:v>14.264351198871639</c:v>
                </c:pt>
                <c:pt idx="37" formatCode="#\,##0.0_i">
                  <c:v>6.5739039117878706</c:v>
                </c:pt>
                <c:pt idx="38" formatCode="#\,##0.0_i">
                  <c:v>0.55485606672047716</c:v>
                </c:pt>
                <c:pt idx="39" formatCode="#\,##0.0_i">
                  <c:v>-2.7842177102883503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12-401F-9E6C-AF3A18BA76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axId val="585979640"/>
        <c:axId val="585981600"/>
      </c:barChart>
      <c:catAx>
        <c:axId val="58597964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ln>
            <a:solidFill>
              <a:srgbClr val="000000"/>
            </a:solidFill>
            <a:prstDash val="solid"/>
          </a:ln>
        </c:spPr>
        <c:txPr>
          <a:bodyPr rot="-3600000" vert="horz"/>
          <a:lstStyle/>
          <a:p>
            <a:pPr>
              <a:defRPr/>
            </a:pPr>
            <a:endParaRPr lang="en-US"/>
          </a:p>
        </c:txPr>
        <c:crossAx val="585981600"/>
        <c:crosses val="autoZero"/>
        <c:auto val="1"/>
        <c:lblAlgn val="ctr"/>
        <c:lblOffset val="100"/>
        <c:noMultiLvlLbl val="0"/>
      </c:catAx>
      <c:valAx>
        <c:axId val="585981600"/>
        <c:scaling>
          <c:orientation val="minMax"/>
          <c:max val="60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#,##0" sourceLinked="0"/>
        <c:majorTickMark val="none"/>
        <c:minorTickMark val="none"/>
        <c:tickLblPos val="nextTo"/>
        <c:spPr>
          <a:ln w="9525">
            <a:noFill/>
          </a:ln>
          <a:extLst>
            <a:ext uri="{91240B29-F687-4F45-9708-019B960494DF}">
              <a14:hiddenLine xmlns:a14="http://schemas.microsoft.com/office/drawing/2010/main" w="9525" cap="flat" cmpd="sng" algn="ctr">
                <a:solidFill>
                  <a:sysClr val="windowText" lastClr="000000">
                    <a:tint val="75000"/>
                    <a:shade val="95000"/>
                    <a:satMod val="105000"/>
                  </a:sysClr>
                </a:solidFill>
                <a:prstDash val="solid"/>
                <a:round/>
              </a14:hiddenLine>
            </a:ext>
          </a:extLst>
        </c:spPr>
        <c:crossAx val="585979640"/>
        <c:crossesAt val="0"/>
        <c:crossBetween val="between"/>
      </c:valAx>
    </c:plotArea>
    <c:plotVisOnly val="1"/>
    <c:dispBlanksAs val="gap"/>
    <c:showDLblsOverMax val="0"/>
  </c:chart>
  <c:spPr>
    <a:solidFill>
      <a:sysClr val="window" lastClr="FFFFFF"/>
    </a:solidFill>
    <a:ln w="9525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txPr>
    <a:bodyPr/>
    <a:lstStyle/>
    <a:p>
      <a:pPr>
        <a:defRPr sz="120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sz="1200" b="1">
                <a:latin typeface="Arial"/>
                <a:ea typeface="Arial"/>
                <a:cs typeface="Arial"/>
              </a:defRPr>
            </a:pPr>
            <a:r>
              <a:rPr lang="en-US"/>
              <a:t>Net electricity generation, EU, 202</a:t>
            </a:r>
            <a:r>
              <a:rPr lang="hr-HR"/>
              <a:t>3</a:t>
            </a:r>
          </a:p>
          <a:p>
            <a:pPr algn="l">
              <a:defRPr sz="1200" b="1">
                <a:latin typeface="Arial"/>
                <a:ea typeface="Arial"/>
                <a:cs typeface="Arial"/>
              </a:defRPr>
            </a:pPr>
            <a:endParaRPr lang="en-US"/>
          </a:p>
          <a:p>
            <a:pPr algn="l">
              <a:defRPr sz="1200" b="1">
                <a:latin typeface="Arial"/>
                <a:ea typeface="Arial"/>
                <a:cs typeface="Arial"/>
              </a:defRPr>
            </a:pPr>
            <a:endParaRPr lang="en-US" sz="1000" b="0"/>
          </a:p>
          <a:p>
            <a:pPr algn="l">
              <a:defRPr sz="1200" b="1">
                <a:latin typeface="Arial"/>
                <a:ea typeface="Arial"/>
                <a:cs typeface="Arial"/>
              </a:defRPr>
            </a:pPr>
            <a:r>
              <a:rPr lang="en-US" sz="1000" b="0"/>
              <a:t>(%, based on GWh)</a:t>
            </a:r>
          </a:p>
        </c:rich>
      </c:tx>
      <c:layout>
        <c:manualLayout>
          <c:xMode val="edge"/>
          <c:yMode val="edge"/>
          <c:x val="9.8728865852153527E-3"/>
          <c:y val="9.9521025677795985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5669505121559916"/>
          <c:y val="0.25826959971585572"/>
          <c:w val="0.49364432926076762"/>
          <c:h val="0.49760512838897991"/>
        </c:manualLayout>
      </c:layout>
      <c:pieChart>
        <c:varyColors val="1"/>
        <c:ser>
          <c:idx val="0"/>
          <c:order val="0"/>
          <c:spPr>
            <a:ln w="19050" cap="flat" cmpd="sng" algn="ctr">
              <a:solidFill>
                <a:srgbClr val="FFFFFF"/>
              </a:solidFill>
              <a:prstDash val="solid"/>
              <a:round/>
              <a:headEnd type="none" w="med" len="med"/>
              <a:tailEnd type="none" w="med" len="med"/>
            </a:ln>
          </c:spPr>
          <c:dPt>
            <c:idx val="0"/>
            <c:bubble3D val="0"/>
            <c:spPr>
              <a:solidFill>
                <a:srgbClr val="2644A7">
                  <a:lumMod val="100000"/>
                </a:srgbClr>
              </a:solidFill>
              <a:ln w="19050" cap="flat" cmpd="sng" algn="ctr">
                <a:solidFill>
                  <a:srgbClr val="FFFFFF"/>
                </a:solidFill>
                <a:prstDash val="solid"/>
                <a:round/>
                <a:headEnd type="none" w="med" len="med"/>
                <a:tailEnd type="none" w="med" len="med"/>
              </a:ln>
            </c:spPr>
            <c:extLst>
              <c:ext xmlns:c16="http://schemas.microsoft.com/office/drawing/2014/chart" uri="{C3380CC4-5D6E-409C-BE32-E72D297353CC}">
                <c16:uniqueId val="{00000001-F150-45EF-A88B-FCE5D2D28CB4}"/>
              </c:ext>
            </c:extLst>
          </c:dPt>
          <c:dPt>
            <c:idx val="1"/>
            <c:bubble3D val="0"/>
            <c:spPr>
              <a:solidFill>
                <a:srgbClr val="2644A7">
                  <a:lumMod val="60000"/>
                  <a:lumOff val="40000"/>
                </a:srgbClr>
              </a:solidFill>
              <a:ln w="19050" cap="flat" cmpd="sng" algn="ctr">
                <a:solidFill>
                  <a:srgbClr val="FFFFFF"/>
                </a:solidFill>
                <a:prstDash val="solid"/>
                <a:round/>
                <a:headEnd type="none" w="med" len="med"/>
                <a:tailEnd type="none" w="med" len="med"/>
              </a:ln>
            </c:spPr>
            <c:extLst>
              <c:ext xmlns:c16="http://schemas.microsoft.com/office/drawing/2014/chart" uri="{C3380CC4-5D6E-409C-BE32-E72D297353CC}">
                <c16:uniqueId val="{00000003-F150-45EF-A88B-FCE5D2D28CB4}"/>
              </c:ext>
            </c:extLst>
          </c:dPt>
          <c:dPt>
            <c:idx val="2"/>
            <c:bubble3D val="0"/>
            <c:spPr>
              <a:solidFill>
                <a:srgbClr val="B09120">
                  <a:lumMod val="100000"/>
                </a:srgbClr>
              </a:solidFill>
              <a:ln w="19050" cap="flat" cmpd="sng" algn="ctr">
                <a:solidFill>
                  <a:srgbClr val="FFFFFF"/>
                </a:solidFill>
                <a:prstDash val="solid"/>
                <a:round/>
                <a:headEnd type="none" w="med" len="med"/>
                <a:tailEnd type="none" w="med" len="med"/>
              </a:ln>
            </c:spPr>
            <c:extLst>
              <c:ext xmlns:c16="http://schemas.microsoft.com/office/drawing/2014/chart" uri="{C3380CC4-5D6E-409C-BE32-E72D297353CC}">
                <c16:uniqueId val="{00000005-F150-45EF-A88B-FCE5D2D28CB4}"/>
              </c:ext>
            </c:extLst>
          </c:dPt>
          <c:dPt>
            <c:idx val="3"/>
            <c:bubble3D val="0"/>
            <c:spPr>
              <a:solidFill>
                <a:srgbClr val="B09120">
                  <a:lumMod val="60000"/>
                  <a:lumOff val="40000"/>
                </a:srgbClr>
              </a:solidFill>
              <a:ln w="19050" cap="flat" cmpd="sng" algn="ctr">
                <a:solidFill>
                  <a:srgbClr val="FFFFFF"/>
                </a:solidFill>
                <a:prstDash val="solid"/>
                <a:round/>
                <a:headEnd type="none" w="med" len="med"/>
                <a:tailEnd type="none" w="med" len="med"/>
              </a:ln>
            </c:spPr>
            <c:extLst>
              <c:ext xmlns:c16="http://schemas.microsoft.com/office/drawing/2014/chart" uri="{C3380CC4-5D6E-409C-BE32-E72D297353CC}">
                <c16:uniqueId val="{00000007-F150-45EF-A88B-FCE5D2D28CB4}"/>
              </c:ext>
            </c:extLst>
          </c:dPt>
          <c:dPt>
            <c:idx val="4"/>
            <c:bubble3D val="0"/>
            <c:spPr>
              <a:solidFill>
                <a:srgbClr val="E04040">
                  <a:lumMod val="100000"/>
                </a:srgbClr>
              </a:solidFill>
              <a:ln w="19050" cap="flat" cmpd="sng" algn="ctr">
                <a:solidFill>
                  <a:srgbClr val="FFFFFF"/>
                </a:solidFill>
                <a:prstDash val="solid"/>
                <a:round/>
                <a:headEnd type="none" w="med" len="med"/>
                <a:tailEnd type="none" w="med" len="med"/>
              </a:ln>
            </c:spPr>
            <c:extLst>
              <c:ext xmlns:c16="http://schemas.microsoft.com/office/drawing/2014/chart" uri="{C3380CC4-5D6E-409C-BE32-E72D297353CC}">
                <c16:uniqueId val="{00000009-F150-45EF-A88B-FCE5D2D28CB4}"/>
              </c:ext>
            </c:extLst>
          </c:dPt>
          <c:dPt>
            <c:idx val="5"/>
            <c:bubble3D val="0"/>
            <c:spPr>
              <a:solidFill>
                <a:srgbClr val="E04040">
                  <a:lumMod val="60000"/>
                  <a:lumOff val="40000"/>
                </a:srgbClr>
              </a:solidFill>
              <a:ln w="19050" cap="flat" cmpd="sng" algn="ctr">
                <a:solidFill>
                  <a:srgbClr val="FFFFFF"/>
                </a:solidFill>
                <a:prstDash val="solid"/>
                <a:round/>
                <a:headEnd type="none" w="med" len="med"/>
                <a:tailEnd type="none" w="med" len="med"/>
              </a:ln>
            </c:spPr>
            <c:extLst>
              <c:ext xmlns:c16="http://schemas.microsoft.com/office/drawing/2014/chart" uri="{C3380CC4-5D6E-409C-BE32-E72D297353CC}">
                <c16:uniqueId val="{0000000B-F150-45EF-A88B-FCE5D2D28CB4}"/>
              </c:ext>
            </c:extLst>
          </c:dPt>
          <c:dPt>
            <c:idx val="6"/>
            <c:bubble3D val="0"/>
            <c:spPr>
              <a:solidFill>
                <a:srgbClr val="208486">
                  <a:lumMod val="100000"/>
                </a:srgbClr>
              </a:solidFill>
              <a:ln w="19050" cap="flat" cmpd="sng" algn="ctr">
                <a:solidFill>
                  <a:srgbClr val="FFFFFF"/>
                </a:solidFill>
                <a:prstDash val="solid"/>
                <a:round/>
                <a:headEnd type="none" w="med" len="med"/>
                <a:tailEnd type="none" w="med" len="med"/>
              </a:ln>
            </c:spPr>
            <c:extLst>
              <c:ext xmlns:c16="http://schemas.microsoft.com/office/drawing/2014/chart" uri="{C3380CC4-5D6E-409C-BE32-E72D297353CC}">
                <c16:uniqueId val="{0000000D-F150-45EF-A88B-FCE5D2D28CB4}"/>
              </c:ext>
            </c:extLst>
          </c:dPt>
          <c:dLbls>
            <c:dLbl>
              <c:idx val="5"/>
              <c:layout>
                <c:manualLayout>
                  <c:x val="-2.2213994816734632E-2"/>
                  <c:y val="-3.9808410271118394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F150-45EF-A88B-FCE5D2D28CB4}"/>
                </c:ext>
              </c:extLst>
            </c:dLbl>
            <c:dLbl>
              <c:idx val="6"/>
              <c:layout>
                <c:manualLayout>
                  <c:x val="7.4046649389115149E-2"/>
                  <c:y val="0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F150-45EF-A88B-FCE5D2D28CB4}"/>
                </c:ext>
              </c:extLst>
            </c:dLbl>
            <c:numFmt formatCode="0.0_i%" sourceLinked="0"/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'Figure 3'!$D$11:$D$17</c:f>
              <c:strCache>
                <c:ptCount val="7"/>
                <c:pt idx="0">
                  <c:v>Combustible fuels</c:v>
                </c:pt>
                <c:pt idx="1">
                  <c:v>Nuclear</c:v>
                </c:pt>
                <c:pt idx="2">
                  <c:v>Wind</c:v>
                </c:pt>
                <c:pt idx="3">
                  <c:v>Hydro</c:v>
                </c:pt>
                <c:pt idx="4">
                  <c:v>Solar</c:v>
                </c:pt>
                <c:pt idx="5">
                  <c:v>Geothermal</c:v>
                </c:pt>
                <c:pt idx="6">
                  <c:v>Other</c:v>
                </c:pt>
              </c:strCache>
            </c:strRef>
          </c:cat>
          <c:val>
            <c:numRef>
              <c:f>'Figure 3'!$E$11:$E$17</c:f>
              <c:numCache>
                <c:formatCode>#,##0_i</c:formatCode>
                <c:ptCount val="7"/>
                <c:pt idx="0">
                  <c:v>960658.42700000003</c:v>
                </c:pt>
                <c:pt idx="1">
                  <c:v>587567.58600000001</c:v>
                </c:pt>
                <c:pt idx="2">
                  <c:v>471209.19500000001</c:v>
                </c:pt>
                <c:pt idx="3">
                  <c:v>356395.09600000002</c:v>
                </c:pt>
                <c:pt idx="4">
                  <c:v>249292.31</c:v>
                </c:pt>
                <c:pt idx="5">
                  <c:v>5773.2359999999999</c:v>
                </c:pt>
                <c:pt idx="6">
                  <c:v>6876.77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F150-45EF-A88B-FCE5D2D28CB4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zero"/>
    <c:showDLblsOverMax val="0"/>
  </c:chart>
  <c:spPr>
    <a:solidFill>
      <a:sysClr val="window" lastClr="FFFFFF"/>
    </a:solidFill>
    <a:ln w="9525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txPr>
    <a:bodyPr/>
    <a:lstStyle/>
    <a:p>
      <a:pPr>
        <a:defRPr sz="100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paperSize="9" orientation="portrait" horizontalDpi="2400" verticalDpi="2400"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sz="1800" b="1">
                <a:latin typeface="Arial"/>
                <a:ea typeface="Arial"/>
                <a:cs typeface="Arial"/>
              </a:defRPr>
            </a:pPr>
            <a:r>
              <a:rPr lang="en-US"/>
              <a:t>Electricity consumption by households, </a:t>
            </a:r>
            <a:r>
              <a:rPr lang="hr-HR"/>
              <a:t>2023</a:t>
            </a:r>
            <a:endParaRPr lang="en-US"/>
          </a:p>
          <a:p>
            <a:pPr algn="l">
              <a:defRPr sz="1800" b="1">
                <a:latin typeface="Arial"/>
                <a:ea typeface="Arial"/>
                <a:cs typeface="Arial"/>
              </a:defRPr>
            </a:pPr>
            <a:r>
              <a:rPr lang="en-US" sz="1600" b="0"/>
              <a:t>(201</a:t>
            </a:r>
            <a:r>
              <a:rPr lang="hr-HR" sz="1600" b="0"/>
              <a:t>3</a:t>
            </a:r>
            <a:r>
              <a:rPr lang="en-US" sz="1600" b="0"/>
              <a:t> = 100)</a:t>
            </a:r>
          </a:p>
        </c:rich>
      </c:tx>
      <c:layout>
        <c:manualLayout>
          <c:xMode val="edge"/>
          <c:yMode val="edge"/>
          <c:x val="5.3354675203414696E-3"/>
          <c:y val="8.8862968579418739E-3"/>
        </c:manualLayout>
      </c:layout>
      <c:overlay val="0"/>
    </c:title>
    <c:autoTitleDeleted val="0"/>
    <c:plotArea>
      <c:layout>
        <c:manualLayout>
          <c:xMode val="edge"/>
          <c:yMode val="edge"/>
          <c:x val="1.4672535680939042E-2"/>
          <c:y val="0.13129503607609119"/>
          <c:w val="0.97145524876617317"/>
          <c:h val="0.7621696348589135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2644A7">
                <a:lumMod val="100000"/>
              </a:srgbClr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7830-48BB-ABB2-AEDE0E8ABDB1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7830-48BB-ABB2-AEDE0E8ABDB1}"/>
              </c:ext>
            </c:extLst>
          </c:dPt>
          <c:dPt>
            <c:idx val="29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7830-48BB-ABB2-AEDE0E8ABDB1}"/>
              </c:ext>
            </c:extLst>
          </c:dPt>
          <c:dPt>
            <c:idx val="3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7830-48BB-ABB2-AEDE0E8ABDB1}"/>
              </c:ext>
            </c:extLst>
          </c:dPt>
          <c:dPt>
            <c:idx val="3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7830-48BB-ABB2-AEDE0E8ABDB1}"/>
              </c:ext>
            </c:extLst>
          </c:dPt>
          <c:dPt>
            <c:idx val="3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7830-48BB-ABB2-AEDE0E8ABDB1}"/>
              </c:ext>
            </c:extLst>
          </c:dPt>
          <c:dPt>
            <c:idx val="3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6-7830-48BB-ABB2-AEDE0E8ABDB1}"/>
              </c:ext>
            </c:extLst>
          </c:dPt>
          <c:cat>
            <c:strRef>
              <c:f>'Figure 4'!$C$11:$C$50</c:f>
              <c:strCache>
                <c:ptCount val="40"/>
                <c:pt idx="0">
                  <c:v>EU</c:v>
                </c:pt>
                <c:pt idx="2">
                  <c:v>Malta</c:v>
                </c:pt>
                <c:pt idx="3">
                  <c:v>Lithuania</c:v>
                </c:pt>
                <c:pt idx="4">
                  <c:v>Slovakia</c:v>
                </c:pt>
                <c:pt idx="5">
                  <c:v>Slovenia</c:v>
                </c:pt>
                <c:pt idx="6">
                  <c:v>Hungary</c:v>
                </c:pt>
                <c:pt idx="7">
                  <c:v>Romania</c:v>
                </c:pt>
                <c:pt idx="8">
                  <c:v>Austria</c:v>
                </c:pt>
                <c:pt idx="9">
                  <c:v>Bulgaria</c:v>
                </c:pt>
                <c:pt idx="10">
                  <c:v>Portugal</c:v>
                </c:pt>
                <c:pt idx="11">
                  <c:v>Czechia</c:v>
                </c:pt>
                <c:pt idx="12">
                  <c:v>Cyprus</c:v>
                </c:pt>
                <c:pt idx="13">
                  <c:v>Poland</c:v>
                </c:pt>
                <c:pt idx="14">
                  <c:v>Luxembourg</c:v>
                </c:pt>
                <c:pt idx="15">
                  <c:v>Ireland</c:v>
                </c:pt>
                <c:pt idx="16">
                  <c:v>Finland</c:v>
                </c:pt>
                <c:pt idx="17">
                  <c:v>Estonia</c:v>
                </c:pt>
                <c:pt idx="18">
                  <c:v>Croatia</c:v>
                </c:pt>
                <c:pt idx="19">
                  <c:v>Germany</c:v>
                </c:pt>
                <c:pt idx="20">
                  <c:v>Spain</c:v>
                </c:pt>
                <c:pt idx="21">
                  <c:v>France</c:v>
                </c:pt>
                <c:pt idx="22">
                  <c:v>Netherlands</c:v>
                </c:pt>
                <c:pt idx="23">
                  <c:v>Denmark</c:v>
                </c:pt>
                <c:pt idx="24">
                  <c:v>Latvia</c:v>
                </c:pt>
                <c:pt idx="25">
                  <c:v>Italy</c:v>
                </c:pt>
                <c:pt idx="26">
                  <c:v>Sweden</c:v>
                </c:pt>
                <c:pt idx="27">
                  <c:v>Greece</c:v>
                </c:pt>
                <c:pt idx="28">
                  <c:v>Belgium</c:v>
                </c:pt>
                <c:pt idx="30">
                  <c:v>Norway</c:v>
                </c:pt>
                <c:pt idx="32">
                  <c:v>Türkiye</c:v>
                </c:pt>
                <c:pt idx="33">
                  <c:v>Georgia</c:v>
                </c:pt>
                <c:pt idx="34">
                  <c:v>Kosovo*</c:v>
                </c:pt>
                <c:pt idx="35">
                  <c:v>Montenegro</c:v>
                </c:pt>
                <c:pt idx="36">
                  <c:v>Moldova</c:v>
                </c:pt>
                <c:pt idx="37">
                  <c:v>North Macedonia</c:v>
                </c:pt>
                <c:pt idx="38">
                  <c:v>Serbia</c:v>
                </c:pt>
                <c:pt idx="39">
                  <c:v>Albania</c:v>
                </c:pt>
              </c:strCache>
            </c:strRef>
          </c:cat>
          <c:val>
            <c:numRef>
              <c:f>'Figure 4'!$D$11:$D$50</c:f>
              <c:numCache>
                <c:formatCode>General</c:formatCode>
                <c:ptCount val="40"/>
                <c:pt idx="0" formatCode="#\,##0.0_i">
                  <c:v>-3.3278112337884691</c:v>
                </c:pt>
                <c:pt idx="2" formatCode="0.0">
                  <c:v>63.616091954023005</c:v>
                </c:pt>
                <c:pt idx="3" formatCode="0.0">
                  <c:v>26.314803344688762</c:v>
                </c:pt>
                <c:pt idx="4" formatCode="0.0">
                  <c:v>24.214959983373706</c:v>
                </c:pt>
                <c:pt idx="5" formatCode="0.0">
                  <c:v>21.470474720185262</c:v>
                </c:pt>
                <c:pt idx="6" formatCode="0.0">
                  <c:v>18.620689655172406</c:v>
                </c:pt>
                <c:pt idx="7" formatCode="0.0">
                  <c:v>18.449905482041594</c:v>
                </c:pt>
                <c:pt idx="8" formatCode="0.0">
                  <c:v>18.413610524606128</c:v>
                </c:pt>
                <c:pt idx="9" formatCode="0.0">
                  <c:v>17.849617258176753</c:v>
                </c:pt>
                <c:pt idx="10" formatCode="0.0">
                  <c:v>16.842896460093005</c:v>
                </c:pt>
                <c:pt idx="11" formatCode="0.0">
                  <c:v>15.99077747989277</c:v>
                </c:pt>
                <c:pt idx="12" formatCode="0.0">
                  <c:v>10.053799596503033</c:v>
                </c:pt>
                <c:pt idx="13" formatCode="0.0">
                  <c:v>5.1689929328621931</c:v>
                </c:pt>
                <c:pt idx="14" formatCode="0.0">
                  <c:v>2.9517396184062905</c:v>
                </c:pt>
                <c:pt idx="15" formatCode="0.0">
                  <c:v>2.9434280889389264</c:v>
                </c:pt>
                <c:pt idx="16" formatCode="0.0">
                  <c:v>2.6917712691771234</c:v>
                </c:pt>
                <c:pt idx="17" formatCode="0.0">
                  <c:v>1.6961167466034155</c:v>
                </c:pt>
                <c:pt idx="18" formatCode="0.0">
                  <c:v>1.469657548695591</c:v>
                </c:pt>
                <c:pt idx="19" formatCode="0.0">
                  <c:v>-5.3297344102234963</c:v>
                </c:pt>
                <c:pt idx="20" formatCode="0.0">
                  <c:v>-5.3828854176773078</c:v>
                </c:pt>
                <c:pt idx="21" formatCode="0.0">
                  <c:v>-5.9768194505010808</c:v>
                </c:pt>
                <c:pt idx="22" formatCode="0.0">
                  <c:v>-6.8669117647058853</c:v>
                </c:pt>
                <c:pt idx="23" formatCode="0.0">
                  <c:v>-7.4703309029725107</c:v>
                </c:pt>
                <c:pt idx="24" formatCode="0.0">
                  <c:v>-8.7214741483857665</c:v>
                </c:pt>
                <c:pt idx="25" formatCode="0.0">
                  <c:v>-9.0888194189040039</c:v>
                </c:pt>
                <c:pt idx="26" formatCode="0.0">
                  <c:v>-10.339912052767753</c:v>
                </c:pt>
                <c:pt idx="27" formatCode="0.0">
                  <c:v>-13.27944514501892</c:v>
                </c:pt>
                <c:pt idx="28" formatCode="0.0">
                  <c:v>-17.430968519981704</c:v>
                </c:pt>
                <c:pt idx="30" formatCode="0.0">
                  <c:v>-0.14592048821747694</c:v>
                </c:pt>
                <c:pt idx="32" formatCode="0.0">
                  <c:v>45.738430579026932</c:v>
                </c:pt>
                <c:pt idx="33" formatCode="0.0">
                  <c:v>22.049689440993792</c:v>
                </c:pt>
                <c:pt idx="34" formatCode="0.0">
                  <c:v>17.342069741282341</c:v>
                </c:pt>
                <c:pt idx="35" formatCode="0.0">
                  <c:v>14.675019577133908</c:v>
                </c:pt>
                <c:pt idx="36" formatCode="0.0">
                  <c:v>3.6002482929857305</c:v>
                </c:pt>
                <c:pt idx="37" formatCode="0.0">
                  <c:v>-2.2665252854812468</c:v>
                </c:pt>
                <c:pt idx="38" formatCode="0.0">
                  <c:v>-8.0431782836137504</c:v>
                </c:pt>
                <c:pt idx="39" formatCode="0.0">
                  <c:v>-14.915544041450769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830-48BB-ABB2-AEDE0E8ABD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7"/>
        <c:axId val="172945952"/>
        <c:axId val="172944776"/>
      </c:barChart>
      <c:catAx>
        <c:axId val="1729459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>
            <a:solidFill>
              <a:srgbClr val="000000"/>
            </a:solidFill>
            <a:prstDash val="solid"/>
          </a:ln>
        </c:spPr>
        <c:txPr>
          <a:bodyPr rot="-3600000" vert="horz"/>
          <a:lstStyle/>
          <a:p>
            <a:pPr>
              <a:defRPr/>
            </a:pPr>
            <a:endParaRPr lang="en-US"/>
          </a:p>
        </c:txPr>
        <c:crossAx val="172944776"/>
        <c:crosses val="autoZero"/>
        <c:auto val="1"/>
        <c:lblAlgn val="ctr"/>
        <c:lblOffset val="100"/>
        <c:tickMarkSkip val="1"/>
        <c:noMultiLvlLbl val="0"/>
      </c:catAx>
      <c:valAx>
        <c:axId val="172944776"/>
        <c:scaling>
          <c:orientation val="minMax"/>
          <c:min val="-20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0" sourceLinked="0"/>
        <c:majorTickMark val="none"/>
        <c:minorTickMark val="none"/>
        <c:tickLblPos val="nextTo"/>
        <c:spPr>
          <a:ln w="9525">
            <a:noFill/>
          </a:ln>
          <a:extLst>
            <a:ext uri="{91240B29-F687-4F45-9708-019B960494DF}">
              <a14:hiddenLine xmlns:a14="http://schemas.microsoft.com/office/drawing/2010/main" w="9525" cap="flat" cmpd="sng" algn="ctr">
                <a:solidFill>
                  <a:sysClr val="windowText" lastClr="000000">
                    <a:tint val="75000"/>
                    <a:shade val="95000"/>
                    <a:satMod val="105000"/>
                  </a:sysClr>
                </a:solidFill>
                <a:prstDash val="solid"/>
                <a:round/>
              </a14:hiddenLine>
            </a:ext>
          </a:extLst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172945952"/>
        <c:crosses val="autoZero"/>
        <c:crossBetween val="between"/>
      </c:valAx>
    </c:plotArea>
    <c:plotVisOnly val="1"/>
    <c:dispBlanksAs val="gap"/>
    <c:showDLblsOverMax val="0"/>
  </c:chart>
  <c:spPr>
    <a:solidFill>
      <a:sysClr val="window" lastClr="FFFFFF"/>
    </a:solidFill>
    <a:ln w="9525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txPr>
    <a:bodyPr/>
    <a:lstStyle/>
    <a:p>
      <a:pPr>
        <a:defRPr sz="120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sz="1800" b="1">
                <a:latin typeface="Arial"/>
                <a:ea typeface="Arial"/>
                <a:cs typeface="Arial"/>
              </a:defRPr>
            </a:pPr>
            <a:r>
              <a:rPr lang="en-US"/>
              <a:t>Market share of the largest company-electricity generation, 201</a:t>
            </a:r>
            <a:r>
              <a:rPr lang="hr-HR"/>
              <a:t>8</a:t>
            </a:r>
            <a:r>
              <a:rPr lang="en-US"/>
              <a:t> and </a:t>
            </a:r>
            <a:r>
              <a:rPr lang="hr-HR"/>
              <a:t>2023</a:t>
            </a:r>
            <a:endParaRPr lang="en-US"/>
          </a:p>
          <a:p>
            <a:pPr algn="l">
              <a:defRPr sz="1800" b="1">
                <a:latin typeface="Arial"/>
                <a:ea typeface="Arial"/>
                <a:cs typeface="Arial"/>
              </a:defRPr>
            </a:pPr>
            <a:r>
              <a:rPr lang="en-US" sz="1600" b="0"/>
              <a:t>(%)</a:t>
            </a:r>
          </a:p>
        </c:rich>
      </c:tx>
      <c:layout>
        <c:manualLayout>
          <c:xMode val="edge"/>
          <c:yMode val="edge"/>
          <c:x val="5.3333669425775559E-3"/>
          <c:y val="8.5083410393747855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4.8550782837645454E-2"/>
          <c:y val="0.12289711464941735"/>
          <c:w val="0.9371768465947754"/>
          <c:h val="0.3275540554196191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'Figure 5'!$D$10</c:f>
              <c:strCache>
                <c:ptCount val="1"/>
                <c:pt idx="0">
                  <c:v>2018</c:v>
                </c:pt>
              </c:strCache>
            </c:strRef>
          </c:tx>
          <c:spPr>
            <a:solidFill>
              <a:srgbClr val="2644A7">
                <a:lumMod val="100000"/>
              </a:srgbClr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dPt>
            <c:idx val="2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5358-4CA5-A881-1825CEECC231}"/>
              </c:ext>
            </c:extLst>
          </c:dPt>
          <c:dPt>
            <c:idx val="2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5358-4CA5-A881-1825CEECC231}"/>
              </c:ext>
            </c:extLst>
          </c:dPt>
          <c:dPt>
            <c:idx val="2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5358-4CA5-A881-1825CEECC231}"/>
              </c:ext>
            </c:extLst>
          </c:dPt>
          <c:dPt>
            <c:idx val="2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5358-4CA5-A881-1825CEECC231}"/>
              </c:ext>
            </c:extLst>
          </c:dPt>
          <c:dPt>
            <c:idx val="2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5358-4CA5-A881-1825CEECC231}"/>
              </c:ext>
            </c:extLst>
          </c:dPt>
          <c:dPt>
            <c:idx val="29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5358-4CA5-A881-1825CEECC231}"/>
              </c:ext>
            </c:extLst>
          </c:dPt>
          <c:dPt>
            <c:idx val="3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6-5358-4CA5-A881-1825CEECC231}"/>
              </c:ext>
            </c:extLst>
          </c:dPt>
          <c:cat>
            <c:strRef>
              <c:f>'Figure 5'!$C$12:$C$43</c:f>
              <c:strCache>
                <c:ptCount val="32"/>
                <c:pt idx="0">
                  <c:v>Cyprus</c:v>
                </c:pt>
                <c:pt idx="1">
                  <c:v>Croatia</c:v>
                </c:pt>
                <c:pt idx="2">
                  <c:v>France</c:v>
                </c:pt>
                <c:pt idx="3">
                  <c:v>Slovakia</c:v>
                </c:pt>
                <c:pt idx="4">
                  <c:v>Latvia</c:v>
                </c:pt>
                <c:pt idx="5">
                  <c:v>Czechia</c:v>
                </c:pt>
                <c:pt idx="6">
                  <c:v>Hungary</c:v>
                </c:pt>
                <c:pt idx="7">
                  <c:v>Estonia</c:v>
                </c:pt>
                <c:pt idx="8">
                  <c:v>Slovenia</c:v>
                </c:pt>
                <c:pt idx="9">
                  <c:v>Belgium</c:v>
                </c:pt>
                <c:pt idx="10">
                  <c:v>Bulgaria</c:v>
                </c:pt>
                <c:pt idx="11">
                  <c:v>Greece</c:v>
                </c:pt>
                <c:pt idx="12">
                  <c:v>Finland</c:v>
                </c:pt>
                <c:pt idx="13">
                  <c:v>Ireland</c:v>
                </c:pt>
                <c:pt idx="14">
                  <c:v>Romania</c:v>
                </c:pt>
                <c:pt idx="15">
                  <c:v>Portugal</c:v>
                </c:pt>
                <c:pt idx="16">
                  <c:v>Spain</c:v>
                </c:pt>
                <c:pt idx="17">
                  <c:v>Denmark</c:v>
                </c:pt>
                <c:pt idx="18">
                  <c:v>Germany</c:v>
                </c:pt>
                <c:pt idx="19">
                  <c:v>Luxembourg</c:v>
                </c:pt>
                <c:pt idx="20">
                  <c:v>Sweden</c:v>
                </c:pt>
                <c:pt idx="21">
                  <c:v>Italy</c:v>
                </c:pt>
                <c:pt idx="22">
                  <c:v>Poland</c:v>
                </c:pt>
                <c:pt idx="23">
                  <c:v>Lithuania</c:v>
                </c:pt>
                <c:pt idx="25">
                  <c:v>Kosovo*</c:v>
                </c:pt>
                <c:pt idx="26">
                  <c:v>Serbia</c:v>
                </c:pt>
                <c:pt idx="27">
                  <c:v>Montenegro</c:v>
                </c:pt>
                <c:pt idx="28">
                  <c:v>Moldova</c:v>
                </c:pt>
                <c:pt idx="29">
                  <c:v>North Macedonia</c:v>
                </c:pt>
                <c:pt idx="30">
                  <c:v>Bosnia and Herzegovina</c:v>
                </c:pt>
                <c:pt idx="31">
                  <c:v>Georgia</c:v>
                </c:pt>
              </c:strCache>
            </c:strRef>
          </c:cat>
          <c:val>
            <c:numRef>
              <c:f>'Figure 5'!$D$12:$D$43</c:f>
              <c:numCache>
                <c:formatCode>#,##0.0_i</c:formatCode>
                <c:ptCount val="32"/>
                <c:pt idx="0">
                  <c:v>92.26</c:v>
                </c:pt>
                <c:pt idx="1">
                  <c:v>82.7</c:v>
                </c:pt>
                <c:pt idx="2">
                  <c:v>82.14</c:v>
                </c:pt>
                <c:pt idx="3">
                  <c:v>70.489999999999995</c:v>
                </c:pt>
                <c:pt idx="4">
                  <c:v>63.39</c:v>
                </c:pt>
                <c:pt idx="5">
                  <c:v>68.400000000000006</c:v>
                </c:pt>
                <c:pt idx="6">
                  <c:v>55.151000000000003</c:v>
                </c:pt>
                <c:pt idx="7">
                  <c:v>80</c:v>
                </c:pt>
                <c:pt idx="8">
                  <c:v>51.46</c:v>
                </c:pt>
                <c:pt idx="9">
                  <c:v>51.51</c:v>
                </c:pt>
                <c:pt idx="10">
                  <c:v>35.82</c:v>
                </c:pt>
                <c:pt idx="11">
                  <c:v>58.18</c:v>
                </c:pt>
                <c:pt idx="12">
                  <c:v>20.86</c:v>
                </c:pt>
                <c:pt idx="13">
                  <c:v>44</c:v>
                </c:pt>
                <c:pt idx="14">
                  <c:v>27.86</c:v>
                </c:pt>
                <c:pt idx="15">
                  <c:v>43.3</c:v>
                </c:pt>
                <c:pt idx="16">
                  <c:v>22.37</c:v>
                </c:pt>
                <c:pt idx="17">
                  <c:v>32.75</c:v>
                </c:pt>
                <c:pt idx="18">
                  <c:v>30.2</c:v>
                </c:pt>
                <c:pt idx="19">
                  <c:v>14.43</c:v>
                </c:pt>
                <c:pt idx="20">
                  <c:v>19.37</c:v>
                </c:pt>
                <c:pt idx="21">
                  <c:v>19</c:v>
                </c:pt>
                <c:pt idx="22">
                  <c:v>17.13</c:v>
                </c:pt>
                <c:pt idx="23">
                  <c:v>15.5</c:v>
                </c:pt>
                <c:pt idx="25">
                  <c:v>94.29</c:v>
                </c:pt>
                <c:pt idx="26">
                  <c:v>97.92</c:v>
                </c:pt>
                <c:pt idx="27">
                  <c:v>92.95</c:v>
                </c:pt>
                <c:pt idx="28">
                  <c:v>77.75</c:v>
                </c:pt>
                <c:pt idx="29">
                  <c:v>82.379000000000005</c:v>
                </c:pt>
                <c:pt idx="30">
                  <c:v>40.54</c:v>
                </c:pt>
                <c:pt idx="31">
                  <c:v>33.1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358-4CA5-A881-1825CEECC231}"/>
            </c:ext>
          </c:extLst>
        </c:ser>
        <c:ser>
          <c:idx val="1"/>
          <c:order val="1"/>
          <c:tx>
            <c:strRef>
              <c:f>'Figure 5'!$E$10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rgbClr val="B09120">
                <a:lumMod val="100000"/>
              </a:srgbClr>
            </a:solidFill>
          </c:spPr>
          <c:invertIfNegative val="0"/>
          <c:cat>
            <c:strRef>
              <c:f>'Figure 5'!$C$12:$C$43</c:f>
              <c:strCache>
                <c:ptCount val="32"/>
                <c:pt idx="0">
                  <c:v>Cyprus</c:v>
                </c:pt>
                <c:pt idx="1">
                  <c:v>Croatia</c:v>
                </c:pt>
                <c:pt idx="2">
                  <c:v>France</c:v>
                </c:pt>
                <c:pt idx="3">
                  <c:v>Slovakia</c:v>
                </c:pt>
                <c:pt idx="4">
                  <c:v>Latvia</c:v>
                </c:pt>
                <c:pt idx="5">
                  <c:v>Czechia</c:v>
                </c:pt>
                <c:pt idx="6">
                  <c:v>Hungary</c:v>
                </c:pt>
                <c:pt idx="7">
                  <c:v>Estonia</c:v>
                </c:pt>
                <c:pt idx="8">
                  <c:v>Slovenia</c:v>
                </c:pt>
                <c:pt idx="9">
                  <c:v>Belgium</c:v>
                </c:pt>
                <c:pt idx="10">
                  <c:v>Bulgaria</c:v>
                </c:pt>
                <c:pt idx="11">
                  <c:v>Greece</c:v>
                </c:pt>
                <c:pt idx="12">
                  <c:v>Finland</c:v>
                </c:pt>
                <c:pt idx="13">
                  <c:v>Ireland</c:v>
                </c:pt>
                <c:pt idx="14">
                  <c:v>Romania</c:v>
                </c:pt>
                <c:pt idx="15">
                  <c:v>Portugal</c:v>
                </c:pt>
                <c:pt idx="16">
                  <c:v>Spain</c:v>
                </c:pt>
                <c:pt idx="17">
                  <c:v>Denmark</c:v>
                </c:pt>
                <c:pt idx="18">
                  <c:v>Germany</c:v>
                </c:pt>
                <c:pt idx="19">
                  <c:v>Luxembourg</c:v>
                </c:pt>
                <c:pt idx="20">
                  <c:v>Sweden</c:v>
                </c:pt>
                <c:pt idx="21">
                  <c:v>Italy</c:v>
                </c:pt>
                <c:pt idx="22">
                  <c:v>Poland</c:v>
                </c:pt>
                <c:pt idx="23">
                  <c:v>Lithuania</c:v>
                </c:pt>
                <c:pt idx="25">
                  <c:v>Kosovo*</c:v>
                </c:pt>
                <c:pt idx="26">
                  <c:v>Serbia</c:v>
                </c:pt>
                <c:pt idx="27">
                  <c:v>Montenegro</c:v>
                </c:pt>
                <c:pt idx="28">
                  <c:v>Moldova</c:v>
                </c:pt>
                <c:pt idx="29">
                  <c:v>North Macedonia</c:v>
                </c:pt>
                <c:pt idx="30">
                  <c:v>Bosnia and Herzegovina</c:v>
                </c:pt>
                <c:pt idx="31">
                  <c:v>Georgia</c:v>
                </c:pt>
              </c:strCache>
            </c:strRef>
          </c:cat>
          <c:val>
            <c:numRef>
              <c:f>'Figure 5'!$E$12:$E$43</c:f>
              <c:numCache>
                <c:formatCode>#\,##0.0_i</c:formatCode>
                <c:ptCount val="32"/>
                <c:pt idx="0">
                  <c:v>84.86</c:v>
                </c:pt>
                <c:pt idx="1">
                  <c:v>78.430000000000007</c:v>
                </c:pt>
                <c:pt idx="2">
                  <c:v>73.94</c:v>
                </c:pt>
                <c:pt idx="3">
                  <c:v>73.319999999999993</c:v>
                </c:pt>
                <c:pt idx="4">
                  <c:v>66.48</c:v>
                </c:pt>
                <c:pt idx="5">
                  <c:v>64.34</c:v>
                </c:pt>
                <c:pt idx="6">
                  <c:v>63.46</c:v>
                </c:pt>
                <c:pt idx="7">
                  <c:v>54.57</c:v>
                </c:pt>
                <c:pt idx="8">
                  <c:v>49.24</c:v>
                </c:pt>
                <c:pt idx="9">
                  <c:v>48.48</c:v>
                </c:pt>
                <c:pt idx="10">
                  <c:v>41.6</c:v>
                </c:pt>
                <c:pt idx="11">
                  <c:v>33.270000000000003</c:v>
                </c:pt>
                <c:pt idx="12">
                  <c:v>31.52</c:v>
                </c:pt>
                <c:pt idx="13">
                  <c:v>31</c:v>
                </c:pt>
                <c:pt idx="14">
                  <c:v>25.655999999999999</c:v>
                </c:pt>
                <c:pt idx="15">
                  <c:v>23.24</c:v>
                </c:pt>
                <c:pt idx="16">
                  <c:v>23.1</c:v>
                </c:pt>
                <c:pt idx="17">
                  <c:v>22.678999999999998</c:v>
                </c:pt>
                <c:pt idx="18">
                  <c:v>22.5</c:v>
                </c:pt>
                <c:pt idx="19">
                  <c:v>18.39</c:v>
                </c:pt>
                <c:pt idx="20">
                  <c:v>17.8</c:v>
                </c:pt>
                <c:pt idx="21">
                  <c:v>17</c:v>
                </c:pt>
                <c:pt idx="22">
                  <c:v>12.99</c:v>
                </c:pt>
                <c:pt idx="23">
                  <c:v>9.15</c:v>
                </c:pt>
                <c:pt idx="25">
                  <c:v>95</c:v>
                </c:pt>
                <c:pt idx="26">
                  <c:v>92.11</c:v>
                </c:pt>
                <c:pt idx="27">
                  <c:v>86.35</c:v>
                </c:pt>
                <c:pt idx="28">
                  <c:v>77.400000000000006</c:v>
                </c:pt>
                <c:pt idx="29">
                  <c:v>63.405999999999999</c:v>
                </c:pt>
                <c:pt idx="30">
                  <c:v>35.304000000000002</c:v>
                </c:pt>
                <c:pt idx="31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358-4CA5-A881-1825CEECC2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7"/>
        <c:axId val="172944384"/>
        <c:axId val="172947520"/>
      </c:barChart>
      <c:catAx>
        <c:axId val="1729443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>
            <a:solidFill>
              <a:srgbClr val="000000"/>
            </a:solidFill>
            <a:prstDash val="solid"/>
          </a:ln>
        </c:spPr>
        <c:txPr>
          <a:bodyPr rot="-3600000" vert="horz"/>
          <a:lstStyle/>
          <a:p>
            <a:pPr>
              <a:defRPr/>
            </a:pPr>
            <a:endParaRPr lang="en-US"/>
          </a:p>
        </c:txPr>
        <c:crossAx val="17294752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72947520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0" sourceLinked="0"/>
        <c:majorTickMark val="none"/>
        <c:minorTickMark val="none"/>
        <c:tickLblPos val="nextTo"/>
        <c:spPr>
          <a:ln w="9525">
            <a:noFill/>
          </a:ln>
          <a:extLst>
            <a:ext uri="{91240B29-F687-4F45-9708-019B960494DF}">
              <a14:hiddenLine xmlns:a14="http://schemas.microsoft.com/office/drawing/2010/main" w="9525" cap="flat" cmpd="sng" algn="ctr">
                <a:solidFill>
                  <a:sysClr val="windowText" lastClr="000000">
                    <a:tint val="75000"/>
                    <a:shade val="95000"/>
                    <a:satMod val="105000"/>
                  </a:sysClr>
                </a:solidFill>
                <a:prstDash val="solid"/>
                <a:round/>
              </a14:hiddenLine>
            </a:ext>
          </a:extLst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172944384"/>
        <c:crosses val="autoZero"/>
        <c:crossBetween val="between"/>
        <c:majorUnit val="20"/>
      </c:valAx>
    </c:plotArea>
    <c:legend>
      <c:legendPos val="b"/>
      <c:layout>
        <c:manualLayout>
          <c:xMode val="edge"/>
          <c:yMode val="edge"/>
          <c:x val="0.4381444966438019"/>
          <c:y val="0.71253100358714205"/>
          <c:w val="0.12411106174753365"/>
          <c:h val="4.1017643162723619E-2"/>
        </c:manualLayout>
      </c:layout>
      <c:overlay val="0"/>
      <c:txPr>
        <a:bodyPr/>
        <a:lstStyle/>
        <a:p>
          <a:pPr>
            <a:defRPr b="1"/>
          </a:pPr>
          <a:endParaRPr lang="en-US"/>
        </a:p>
      </c:txPr>
    </c:legend>
    <c:plotVisOnly val="1"/>
    <c:dispBlanksAs val="gap"/>
    <c:showDLblsOverMax val="0"/>
  </c:chart>
  <c:spPr>
    <a:solidFill>
      <a:sysClr val="window" lastClr="FFFFFF"/>
    </a:solidFill>
    <a:ln w="9525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txPr>
    <a:bodyPr/>
    <a:lstStyle/>
    <a:p>
      <a:pPr>
        <a:defRPr sz="120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paperSize="9" orientation="portrait" horizontalDpi="2400" verticalDpi="2400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file:///C:\Program%20Files\DIaLOGIKa\Eurostat%20Layout\Logo\Eurostat%20logo.png" TargetMode="Externa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file:///C:\Program%20Files\DIaLOGIKa\Eurostat%20Layout\Logo\Eurostat%20logo.png" TargetMode="Externa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file:///C:\Program%20Files\DIaLOGIKa\Eurostat%20Layout\Logo\Eurostat%20logo.png" TargetMode="Externa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file:///C:\Program%20Files\DIaLOGIKa\Eurostat%20Layout\Logo\Eurostat%20logo.png" TargetMode="Externa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file:///C:\Program%20Files\DIaLOGIKa\Eurostat%20Layout\Logo\Eurostat%20logo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634</xdr:colOff>
      <xdr:row>15</xdr:row>
      <xdr:rowOff>131127</xdr:rowOff>
    </xdr:from>
    <xdr:to>
      <xdr:col>23</xdr:col>
      <xdr:colOff>305434</xdr:colOff>
      <xdr:row>49</xdr:row>
      <xdr:rowOff>142533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absSizeAnchor xmlns:cdr="http://schemas.openxmlformats.org/drawingml/2006/chartDrawing">
    <cdr:from>
      <cdr:x>0</cdr:x>
      <cdr:y>0.95405</cdr:y>
    </cdr:from>
    <cdr:ext cx="7995000" cy="269368"/>
    <cdr:sp macro="" textlink="">
      <cdr:nvSpPr>
        <cdr:cNvPr id="4" name="FootonotesShape">
          <a:extLst xmlns:a="http://schemas.openxmlformats.org/drawingml/2006/main">
            <a:ext uri="{FF2B5EF4-FFF2-40B4-BE49-F238E27FC236}">
              <a16:creationId xmlns:a16="http://schemas.microsoft.com/office/drawing/2014/main" id="{B14ACF20-7F8A-EC79-0E6F-D1D6BD08786F}"/>
            </a:ext>
          </a:extLst>
        </cdr:cNvPr>
        <cdr:cNvSpPr txBox="1"/>
      </cdr:nvSpPr>
      <cdr:spPr>
        <a:xfrm xmlns:a="http://schemas.openxmlformats.org/drawingml/2006/main">
          <a:off x="0" y="5592927"/>
          <a:ext cx="7995000" cy="26936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rtlCol="0">
          <a:spAutoFit/>
        </a:bodyPr>
        <a:lstStyle xmlns:a="http://schemas.openxmlformats.org/drawingml/2006/main"/>
        <a:p xmlns:a="http://schemas.openxmlformats.org/drawingml/2006/main">
          <a:pPr>
            <a:spcBef>
              <a:spcPts val="300"/>
            </a:spcBef>
          </a:pPr>
          <a:r>
            <a:rPr lang="en-IE" sz="1200" i="1">
              <a:latin typeface="Arial" panose="020B0604020202020204" pitchFamily="34" charset="0"/>
            </a:rPr>
            <a:t>Source:</a:t>
          </a:r>
          <a:r>
            <a:rPr lang="en-IE" sz="1200">
              <a:latin typeface="Arial" panose="020B0604020202020204" pitchFamily="34" charset="0"/>
            </a:rPr>
            <a:t> Eurostat (online data code: nrg_ind_peh)</a:t>
          </a:r>
        </a:p>
      </cdr:txBody>
    </cdr:sp>
  </cdr:absSizeAnchor>
  <cdr:absSizeAnchor xmlns:cdr="http://schemas.openxmlformats.org/drawingml/2006/chartDrawing">
    <cdr:from>
      <cdr:x>0.83936</cdr:x>
      <cdr:y>0.92825</cdr:y>
    </cdr:from>
    <cdr:ext cx="1530099" cy="420623"/>
    <cdr:pic>
      <cdr:nvPicPr>
        <cdr:cNvPr id="6" name="LogoShape">
          <a:extLst xmlns:a="http://schemas.openxmlformats.org/drawingml/2006/main">
            <a:ext uri="{FF2B5EF4-FFF2-40B4-BE49-F238E27FC236}">
              <a16:creationId xmlns:a16="http://schemas.microsoft.com/office/drawing/2014/main" id="{884AAAAD-4F4B-28A9-2020-5BDE9C33E889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link="rId1"/>
        <a:stretch xmlns:a="http://schemas.openxmlformats.org/drawingml/2006/main">
          <a:fillRect/>
        </a:stretch>
      </cdr:blipFill>
      <cdr:spPr>
        <a:xfrm xmlns:a="http://schemas.openxmlformats.org/drawingml/2006/main">
          <a:off x="7994901" y="5441672"/>
          <a:ext cx="1530099" cy="420623"/>
        </a:xfrm>
        <a:prstGeom xmlns:a="http://schemas.openxmlformats.org/drawingml/2006/main" prst="rect">
          <a:avLst/>
        </a:prstGeom>
      </cdr:spPr>
    </cdr:pic>
  </cdr:abs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630548</xdr:colOff>
      <xdr:row>14</xdr:row>
      <xdr:rowOff>1</xdr:rowOff>
    </xdr:from>
    <xdr:to>
      <xdr:col>19</xdr:col>
      <xdr:colOff>420998</xdr:colOff>
      <xdr:row>47</xdr:row>
      <xdr:rowOff>57675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absSizeAnchor xmlns:cdr="http://schemas.openxmlformats.org/drawingml/2006/chartDrawing">
    <cdr:from>
      <cdr:x>0</cdr:x>
      <cdr:y>0.9526</cdr:y>
    </cdr:from>
    <cdr:ext cx="7995000" cy="269369"/>
    <cdr:sp macro="" textlink="">
      <cdr:nvSpPr>
        <cdr:cNvPr id="2" name="FootonotesShape">
          <a:extLst xmlns:a="http://schemas.openxmlformats.org/drawingml/2006/main">
            <a:ext uri="{FF2B5EF4-FFF2-40B4-BE49-F238E27FC236}">
              <a16:creationId xmlns:a16="http://schemas.microsoft.com/office/drawing/2014/main" id="{110537BF-48EA-65A1-7C62-8E26ACD61532}"/>
            </a:ext>
          </a:extLst>
        </cdr:cNvPr>
        <cdr:cNvSpPr txBox="1"/>
      </cdr:nvSpPr>
      <cdr:spPr>
        <a:xfrm xmlns:a="http://schemas.openxmlformats.org/drawingml/2006/main">
          <a:off x="0" y="5451870"/>
          <a:ext cx="7995000" cy="26936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rtlCol="0">
          <a:spAutoFit/>
        </a:bodyPr>
        <a:lstStyle xmlns:a="http://schemas.openxmlformats.org/drawingml/2006/main"/>
        <a:p xmlns:a="http://schemas.openxmlformats.org/drawingml/2006/main">
          <a:pPr>
            <a:spcBef>
              <a:spcPts val="300"/>
            </a:spcBef>
          </a:pPr>
          <a:r>
            <a:rPr lang="en-IE" sz="1200" i="1">
              <a:latin typeface="Arial" panose="020B0604020202020204" pitchFamily="34" charset="0"/>
            </a:rPr>
            <a:t>Source:</a:t>
          </a:r>
          <a:r>
            <a:rPr lang="en-IE" sz="1200">
              <a:latin typeface="Arial" panose="020B0604020202020204" pitchFamily="34" charset="0"/>
            </a:rPr>
            <a:t> Eurostat (online data code: nrg_ind_peh)</a:t>
          </a:r>
        </a:p>
      </cdr:txBody>
    </cdr:sp>
  </cdr:absSizeAnchor>
  <cdr:absSizeAnchor xmlns:cdr="http://schemas.openxmlformats.org/drawingml/2006/chartDrawing">
    <cdr:from>
      <cdr:x>0.83942</cdr:x>
      <cdr:y>0.92617</cdr:y>
    </cdr:from>
    <cdr:ext cx="1530099" cy="420625"/>
    <cdr:pic>
      <cdr:nvPicPr>
        <cdr:cNvPr id="4" name="LogoShape">
          <a:extLst xmlns:a="http://schemas.openxmlformats.org/drawingml/2006/main">
            <a:ext uri="{FF2B5EF4-FFF2-40B4-BE49-F238E27FC236}">
              <a16:creationId xmlns:a16="http://schemas.microsoft.com/office/drawing/2014/main" id="{710A9917-DA42-A2B8-AB89-81627C52B960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link="rId1"/>
        <a:stretch xmlns:a="http://schemas.openxmlformats.org/drawingml/2006/main">
          <a:fillRect/>
        </a:stretch>
      </cdr:blipFill>
      <cdr:spPr>
        <a:xfrm xmlns:a="http://schemas.openxmlformats.org/drawingml/2006/main">
          <a:off x="7998711" y="5300614"/>
          <a:ext cx="1530099" cy="420625"/>
        </a:xfrm>
        <a:prstGeom xmlns:a="http://schemas.openxmlformats.org/drawingml/2006/main" prst="rect">
          <a:avLst/>
        </a:prstGeom>
      </cdr:spPr>
    </cdr:pic>
  </cdr:abs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1159509</xdr:colOff>
      <xdr:row>20</xdr:row>
      <xdr:rowOff>83818</xdr:rowOff>
    </xdr:from>
    <xdr:to>
      <xdr:col>7</xdr:col>
      <xdr:colOff>207009</xdr:colOff>
      <xdr:row>50</xdr:row>
      <xdr:rowOff>44767</xdr:rowOff>
    </xdr:to>
    <xdr:graphicFrame macro="">
      <xdr:nvGraphicFramePr>
        <xdr:cNvPr id="67590" name="Chart 1">
          <a:extLst>
            <a:ext uri="{FF2B5EF4-FFF2-40B4-BE49-F238E27FC236}">
              <a16:creationId xmlns:a16="http://schemas.microsoft.com/office/drawing/2014/main" id="{00000000-0008-0000-0200-0000060801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absSizeAnchor xmlns:cdr="http://schemas.openxmlformats.org/drawingml/2006/chartDrawing">
    <cdr:from>
      <cdr:x>0</cdr:x>
      <cdr:y>0.95153</cdr:y>
    </cdr:from>
    <cdr:ext cx="3617310" cy="239808"/>
    <cdr:sp macro="" textlink="">
      <cdr:nvSpPr>
        <cdr:cNvPr id="2" name="FootonotesShape">
          <a:extLst xmlns:a="http://schemas.openxmlformats.org/drawingml/2006/main">
            <a:ext uri="{FF2B5EF4-FFF2-40B4-BE49-F238E27FC236}">
              <a16:creationId xmlns:a16="http://schemas.microsoft.com/office/drawing/2014/main" id="{C42BE696-9DD7-23CD-E3A5-24CDA55EE647}"/>
            </a:ext>
          </a:extLst>
        </cdr:cNvPr>
        <cdr:cNvSpPr txBox="1"/>
      </cdr:nvSpPr>
      <cdr:spPr>
        <a:xfrm xmlns:a="http://schemas.openxmlformats.org/drawingml/2006/main">
          <a:off x="0" y="4857020"/>
          <a:ext cx="3617310" cy="23980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rtlCol="0">
          <a:spAutoFit/>
        </a:bodyPr>
        <a:lstStyle xmlns:a="http://schemas.openxmlformats.org/drawingml/2006/main"/>
        <a:p xmlns:a="http://schemas.openxmlformats.org/drawingml/2006/main">
          <a:pPr>
            <a:spcBef>
              <a:spcPts val="300"/>
            </a:spcBef>
          </a:pPr>
          <a:r>
            <a:rPr lang="en-IE" sz="1000" i="1">
              <a:latin typeface="Arial" panose="020B0604020202020204" pitchFamily="34" charset="0"/>
            </a:rPr>
            <a:t>Source:</a:t>
          </a:r>
          <a:r>
            <a:rPr lang="en-IE" sz="1000">
              <a:latin typeface="Arial" panose="020B0604020202020204" pitchFamily="34" charset="0"/>
            </a:rPr>
            <a:t> Eurostat (online data code: nrg_ind_peh)</a:t>
          </a:r>
        </a:p>
      </cdr:txBody>
    </cdr:sp>
  </cdr:absSizeAnchor>
  <cdr:absSizeAnchor xmlns:cdr="http://schemas.openxmlformats.org/drawingml/2006/chartDrawing">
    <cdr:from>
      <cdr:x>0.70263</cdr:x>
      <cdr:y>0.9161</cdr:y>
    </cdr:from>
    <cdr:ext cx="1530098" cy="420623"/>
    <cdr:pic>
      <cdr:nvPicPr>
        <cdr:cNvPr id="6" name="LogoShape">
          <a:extLst xmlns:a="http://schemas.openxmlformats.org/drawingml/2006/main">
            <a:ext uri="{FF2B5EF4-FFF2-40B4-BE49-F238E27FC236}">
              <a16:creationId xmlns:a16="http://schemas.microsoft.com/office/drawing/2014/main" id="{E55CCD20-D310-B37A-A6DA-25ECBF40C7AA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link="rId1"/>
        <a:stretch xmlns:a="http://schemas.openxmlformats.org/drawingml/2006/main">
          <a:fillRect/>
        </a:stretch>
      </cdr:blipFill>
      <cdr:spPr>
        <a:xfrm xmlns:a="http://schemas.openxmlformats.org/drawingml/2006/main">
          <a:off x="3615307" y="4676205"/>
          <a:ext cx="1530098" cy="420623"/>
        </a:xfrm>
        <a:prstGeom xmlns:a="http://schemas.openxmlformats.org/drawingml/2006/main" prst="rect">
          <a:avLst/>
        </a:prstGeom>
      </cdr:spPr>
    </cdr:pic>
  </cdr:abs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400045</xdr:colOff>
      <xdr:row>10</xdr:row>
      <xdr:rowOff>135255</xdr:rowOff>
    </xdr:from>
    <xdr:to>
      <xdr:col>17</xdr:col>
      <xdr:colOff>152395</xdr:colOff>
      <xdr:row>44</xdr:row>
      <xdr:rowOff>15002</xdr:rowOff>
    </xdr:to>
    <xdr:graphicFrame macro="">
      <xdr:nvGraphicFramePr>
        <xdr:cNvPr id="60421" name="Chart 1">
          <a:extLst>
            <a:ext uri="{FF2B5EF4-FFF2-40B4-BE49-F238E27FC236}">
              <a16:creationId xmlns:a16="http://schemas.microsoft.com/office/drawing/2014/main" id="{00000000-0008-0000-0300-000005EC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c:userShapes xmlns:c="http://schemas.openxmlformats.org/drawingml/2006/chart">
  <cdr:absSizeAnchor xmlns:cdr="http://schemas.openxmlformats.org/drawingml/2006/chartDrawing">
    <cdr:from>
      <cdr:x>0</cdr:x>
      <cdr:y>0.95155</cdr:y>
    </cdr:from>
    <cdr:ext cx="7994999" cy="269369"/>
    <cdr:sp macro="" textlink="">
      <cdr:nvSpPr>
        <cdr:cNvPr id="2" name="FootonotesShape">
          <a:extLst xmlns:a="http://schemas.openxmlformats.org/drawingml/2006/main">
            <a:ext uri="{FF2B5EF4-FFF2-40B4-BE49-F238E27FC236}">
              <a16:creationId xmlns:a16="http://schemas.microsoft.com/office/drawing/2014/main" id="{05317836-EAAB-064B-F285-08476A4D1545}"/>
            </a:ext>
          </a:extLst>
        </cdr:cNvPr>
        <cdr:cNvSpPr txBox="1"/>
      </cdr:nvSpPr>
      <cdr:spPr>
        <a:xfrm xmlns:a="http://schemas.openxmlformats.org/drawingml/2006/main">
          <a:off x="0" y="5439678"/>
          <a:ext cx="7994999" cy="26936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rtlCol="0">
          <a:spAutoFit/>
        </a:bodyPr>
        <a:lstStyle xmlns:a="http://schemas.openxmlformats.org/drawingml/2006/main"/>
        <a:p xmlns:a="http://schemas.openxmlformats.org/drawingml/2006/main">
          <a:pPr>
            <a:spcBef>
              <a:spcPts val="300"/>
            </a:spcBef>
          </a:pPr>
          <a:r>
            <a:rPr lang="en-IE" sz="1200" i="1">
              <a:latin typeface="Arial" panose="020B0604020202020204" pitchFamily="34" charset="0"/>
            </a:rPr>
            <a:t>Source:</a:t>
          </a:r>
          <a:r>
            <a:rPr lang="en-IE" sz="1200">
              <a:latin typeface="Arial" panose="020B0604020202020204" pitchFamily="34" charset="0"/>
            </a:rPr>
            <a:t> Eurostat (online data code: nrg_cb_e)</a:t>
          </a:r>
        </a:p>
      </cdr:txBody>
    </cdr:sp>
  </cdr:absSizeAnchor>
  <cdr:absSizeAnchor xmlns:cdr="http://schemas.openxmlformats.org/drawingml/2006/chartDrawing">
    <cdr:from>
      <cdr:x>0.8393</cdr:x>
      <cdr:y>0.92509</cdr:y>
    </cdr:from>
    <cdr:ext cx="1530099" cy="420625"/>
    <cdr:pic>
      <cdr:nvPicPr>
        <cdr:cNvPr id="5" name="LogoShape">
          <a:extLst xmlns:a="http://schemas.openxmlformats.org/drawingml/2006/main">
            <a:ext uri="{FF2B5EF4-FFF2-40B4-BE49-F238E27FC236}">
              <a16:creationId xmlns:a16="http://schemas.microsoft.com/office/drawing/2014/main" id="{E692B730-9EA4-6460-45C6-D8D5BD483853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link="rId1"/>
        <a:stretch xmlns:a="http://schemas.openxmlformats.org/drawingml/2006/main">
          <a:fillRect/>
        </a:stretch>
      </cdr:blipFill>
      <cdr:spPr>
        <a:xfrm xmlns:a="http://schemas.openxmlformats.org/drawingml/2006/main">
          <a:off x="7991091" y="5288422"/>
          <a:ext cx="1530099" cy="420625"/>
        </a:xfrm>
        <a:prstGeom xmlns:a="http://schemas.openxmlformats.org/drawingml/2006/main" prst="rect">
          <a:avLst/>
        </a:prstGeom>
      </cdr:spPr>
    </cdr:pic>
  </cdr:absSizeAnchor>
</c:userShapes>
</file>

<file path=xl/drawings/drawing9.xml><?xml version="1.0" encoding="utf-8"?>
<xdr:wsDr xmlns:xdr="http://schemas.openxmlformats.org/drawingml/2006/spreadsheetDrawing" xmlns:a="http://schemas.openxmlformats.org/drawingml/2006/main">
  <xdr:twoCellAnchor editAs="absolute">
    <xdr:from>
      <xdr:col>6</xdr:col>
      <xdr:colOff>171447</xdr:colOff>
      <xdr:row>11</xdr:row>
      <xdr:rowOff>80212</xdr:rowOff>
    </xdr:from>
    <xdr:to>
      <xdr:col>27</xdr:col>
      <xdr:colOff>531395</xdr:colOff>
      <xdr:row>51</xdr:row>
      <xdr:rowOff>110289</xdr:rowOff>
    </xdr:to>
    <xdr:graphicFrame macro="">
      <xdr:nvGraphicFramePr>
        <xdr:cNvPr id="70659" name="Chart 1">
          <a:extLst>
            <a:ext uri="{FF2B5EF4-FFF2-40B4-BE49-F238E27FC236}">
              <a16:creationId xmlns:a16="http://schemas.microsoft.com/office/drawing/2014/main" id="{00000000-0008-0000-0400-0000031401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c:userShapes xmlns:c="http://schemas.openxmlformats.org/drawingml/2006/chart">
  <cdr:absSizeAnchor xmlns:cdr="http://schemas.openxmlformats.org/drawingml/2006/chartDrawing">
    <cdr:from>
      <cdr:x>0</cdr:x>
      <cdr:y>0.79366</cdr:y>
    </cdr:from>
    <cdr:ext cx="7994999" cy="838948"/>
    <cdr:sp macro="" textlink="">
      <cdr:nvSpPr>
        <cdr:cNvPr id="2" name="FootonotesShape">
          <a:extLst xmlns:a="http://schemas.openxmlformats.org/drawingml/2006/main">
            <a:ext uri="{FF2B5EF4-FFF2-40B4-BE49-F238E27FC236}">
              <a16:creationId xmlns:a16="http://schemas.microsoft.com/office/drawing/2014/main" id="{045D0217-2753-8A2A-AB33-2D7BFBCF6238}"/>
            </a:ext>
          </a:extLst>
        </cdr:cNvPr>
        <cdr:cNvSpPr txBox="1"/>
      </cdr:nvSpPr>
      <cdr:spPr>
        <a:xfrm xmlns:a="http://schemas.openxmlformats.org/drawingml/2006/main">
          <a:off x="0" y="5164407"/>
          <a:ext cx="7994999" cy="83894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rtlCol="0">
          <a:spAutoFit/>
        </a:bodyPr>
        <a:lstStyle xmlns:a="http://schemas.openxmlformats.org/drawingml/2006/main"/>
        <a:p xmlns:a="http://schemas.openxmlformats.org/drawingml/2006/main">
          <a:r>
            <a:rPr lang="en-IE" sz="1200">
              <a:latin typeface="Arial" panose="020B0604020202020204" pitchFamily="34" charset="0"/>
            </a:rPr>
            <a:t>Note: Data not available for the </a:t>
          </a:r>
          <a:r>
            <a:rPr lang="hr-HR" sz="1200">
              <a:latin typeface="Arial" panose="020B0604020202020204" pitchFamily="34" charset="0"/>
            </a:rPr>
            <a:t>Malta, </a:t>
          </a:r>
          <a:r>
            <a:rPr lang="en-IE" sz="1200">
              <a:latin typeface="Arial" panose="020B0604020202020204" pitchFamily="34" charset="0"/>
            </a:rPr>
            <a:t>Netherlands</a:t>
          </a:r>
          <a:r>
            <a:rPr lang="hr-HR" sz="1200">
              <a:latin typeface="Arial" panose="020B0604020202020204" pitchFamily="34" charset="0"/>
            </a:rPr>
            <a:t> and Austria</a:t>
          </a:r>
          <a:r>
            <a:rPr lang="en-IE" sz="1200">
              <a:latin typeface="Arial" panose="020B0604020202020204" pitchFamily="34" charset="0"/>
            </a:rPr>
            <a:t>.</a:t>
          </a:r>
        </a:p>
        <a:p xmlns:a="http://schemas.openxmlformats.org/drawingml/2006/main">
          <a:r>
            <a:rPr lang="en-IE" sz="1200">
              <a:latin typeface="Arial" panose="020B0604020202020204" pitchFamily="34" charset="0"/>
            </a:rPr>
            <a:t>* This designation is without prejudice to positions on status, and is in line with UNSCR 1244/1999 and the ICJ Opinion on the Kosovo Declaration of Independence.</a:t>
          </a:r>
        </a:p>
        <a:p xmlns:a="http://schemas.openxmlformats.org/drawingml/2006/main">
          <a:pPr>
            <a:spcBef>
              <a:spcPts val="300"/>
            </a:spcBef>
          </a:pPr>
          <a:r>
            <a:rPr lang="en-IE" sz="1200" i="1">
              <a:latin typeface="Arial" panose="020B0604020202020204" pitchFamily="34" charset="0"/>
            </a:rPr>
            <a:t>Source:</a:t>
          </a:r>
          <a:r>
            <a:rPr lang="en-IE" sz="1200">
              <a:latin typeface="Arial" panose="020B0604020202020204" pitchFamily="34" charset="0"/>
            </a:rPr>
            <a:t> Eurostat (online data code: nrg_ind_market)</a:t>
          </a:r>
        </a:p>
      </cdr:txBody>
    </cdr:sp>
  </cdr:absSizeAnchor>
  <cdr:absSizeAnchor xmlns:cdr="http://schemas.openxmlformats.org/drawingml/2006/chartDrawing">
    <cdr:from>
      <cdr:x>0.8393</cdr:x>
      <cdr:y>0.92952</cdr:y>
    </cdr:from>
    <cdr:ext cx="1530099" cy="420624"/>
    <cdr:pic>
      <cdr:nvPicPr>
        <cdr:cNvPr id="4" name="LogoShape">
          <a:extLst xmlns:a="http://schemas.openxmlformats.org/drawingml/2006/main">
            <a:ext uri="{FF2B5EF4-FFF2-40B4-BE49-F238E27FC236}">
              <a16:creationId xmlns:a16="http://schemas.microsoft.com/office/drawing/2014/main" id="{6FBF586E-622E-E205-277F-1F82B8CEC253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link="rId1"/>
        <a:stretch xmlns:a="http://schemas.openxmlformats.org/drawingml/2006/main">
          <a:fillRect/>
        </a:stretch>
      </cdr:blipFill>
      <cdr:spPr>
        <a:xfrm xmlns:a="http://schemas.openxmlformats.org/drawingml/2006/main">
          <a:off x="7991091" y="5547637"/>
          <a:ext cx="1530099" cy="420624"/>
        </a:xfrm>
        <a:prstGeom xmlns:a="http://schemas.openxmlformats.org/drawingml/2006/main" prst="rect">
          <a:avLst/>
        </a:prstGeom>
      </cdr:spPr>
    </cdr:pic>
  </cdr:absSizeAnchor>
</c:userShapes>
</file>

<file path=xl/theme/theme1.xml><?xml version="1.0" encoding="utf-8"?>
<a:theme xmlns:a="http://schemas.openxmlformats.org/drawingml/2006/main" name="Office Theme">
  <a:themeElements>
    <a:clrScheme name="Palette 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2644A7"/>
      </a:accent1>
      <a:accent2>
        <a:srgbClr val="B09120"/>
      </a:accent2>
      <a:accent3>
        <a:srgbClr val="E04040"/>
      </a:accent3>
      <a:accent4>
        <a:srgbClr val="208486"/>
      </a:accent4>
      <a:accent5>
        <a:srgbClr val="388AE2"/>
      </a:accent5>
      <a:accent6>
        <a:srgbClr val="C05F03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s://ec.europa.eu/eurostat/databrowser/view/nrg_ind_peh__custom_12620935/default/table?lang=en" TargetMode="External"/><Relationship Id="rId1" Type="http://schemas.openxmlformats.org/officeDocument/2006/relationships/hyperlink" Target="https://ec.europa.eu/eurostat/databrowser/view/nrg_ind_peh__custom_12582952/default/table?lang=en" TargetMode="External"/><Relationship Id="rId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ec.europa.eu/eurostat/databrowser/view/nrg_ind_peh__custom_12595473/default/table?lang=en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ec.europa.eu/eurostat/databrowser/view/NRG_IND_PEH__custom_12597594/default/table?lang=en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ec.europa.eu/eurostat/databrowser/view/NRG_CB_E__custom_12582928/default/table?lang=en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.xml"/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s://ec.europa.eu/eurostat/databrowser/view/nrg_ind_market__custom_12597302/default/table?lang=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10"/>
  <sheetViews>
    <sheetView showGridLines="0" zoomScaleNormal="100" workbookViewId="0">
      <selection activeCell="A2" sqref="A2"/>
    </sheetView>
  </sheetViews>
  <sheetFormatPr defaultColWidth="9.140625" defaultRowHeight="12.75" x14ac:dyDescent="0.2"/>
  <cols>
    <col min="1" max="16384" width="9.140625" style="9"/>
  </cols>
  <sheetData>
    <row r="2" spans="1:1" x14ac:dyDescent="0.2">
      <c r="A2" s="10" t="s">
        <v>146</v>
      </c>
    </row>
    <row r="4" spans="1:1" x14ac:dyDescent="0.2">
      <c r="A4" s="10" t="s">
        <v>139</v>
      </c>
    </row>
    <row r="6" spans="1:1" x14ac:dyDescent="0.2">
      <c r="A6" s="10" t="s">
        <v>147</v>
      </c>
    </row>
    <row r="8" spans="1:1" x14ac:dyDescent="0.2">
      <c r="A8" s="10" t="s">
        <v>79</v>
      </c>
    </row>
    <row r="10" spans="1:1" x14ac:dyDescent="0.2">
      <c r="A10" s="10" t="s">
        <v>155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AP144"/>
  <sheetViews>
    <sheetView showGridLines="0" topLeftCell="A87" zoomScaleNormal="100" workbookViewId="0">
      <selection activeCell="E105" sqref="E105"/>
    </sheetView>
  </sheetViews>
  <sheetFormatPr defaultColWidth="9.140625" defaultRowHeight="12.75" x14ac:dyDescent="0.2"/>
  <cols>
    <col min="1" max="2" width="9.140625" style="9" customWidth="1"/>
    <col min="3" max="3" width="16.85546875" style="9" customWidth="1"/>
    <col min="4" max="31" width="6.7109375" style="9" customWidth="1"/>
    <col min="32" max="16384" width="9.140625" style="9"/>
  </cols>
  <sheetData>
    <row r="1" spans="1:42" x14ac:dyDescent="0.2">
      <c r="A1" s="8"/>
    </row>
    <row r="2" spans="1:42" s="10" customFormat="1" x14ac:dyDescent="0.2">
      <c r="A2" s="9"/>
    </row>
    <row r="3" spans="1:42" s="10" customFormat="1" x14ac:dyDescent="0.2">
      <c r="C3" s="10" t="s">
        <v>0</v>
      </c>
    </row>
    <row r="4" spans="1:42" s="10" customFormat="1" x14ac:dyDescent="0.2">
      <c r="C4" s="10" t="s">
        <v>34</v>
      </c>
    </row>
    <row r="5" spans="1:42" s="10" customFormat="1" x14ac:dyDescent="0.2"/>
    <row r="6" spans="1:42" s="12" customFormat="1" ht="15.75" x14ac:dyDescent="0.25">
      <c r="A6" s="11"/>
      <c r="C6" s="101" t="s">
        <v>161</v>
      </c>
      <c r="D6" s="13"/>
      <c r="E6" s="13"/>
      <c r="F6" s="13"/>
      <c r="G6" s="13"/>
      <c r="H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</row>
    <row r="7" spans="1:42" s="28" customFormat="1" ht="14.25" x14ac:dyDescent="0.2">
      <c r="C7" s="102" t="s">
        <v>54</v>
      </c>
      <c r="D7" s="1"/>
      <c r="E7" s="1"/>
      <c r="F7" s="1"/>
      <c r="G7" s="1"/>
      <c r="H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</row>
    <row r="8" spans="1:42" s="10" customFormat="1" x14ac:dyDescent="0.2">
      <c r="K8" s="29"/>
    </row>
    <row r="9" spans="1:42" x14ac:dyDescent="0.2">
      <c r="K9" s="30"/>
    </row>
    <row r="10" spans="1:42" s="27" customFormat="1" x14ac:dyDescent="0.2">
      <c r="D10" s="27">
        <v>1990</v>
      </c>
      <c r="E10" s="27">
        <v>1991</v>
      </c>
      <c r="F10" s="27">
        <v>1992</v>
      </c>
      <c r="G10" s="27">
        <v>1993</v>
      </c>
      <c r="H10" s="27">
        <v>1994</v>
      </c>
      <c r="I10" s="27">
        <v>1995</v>
      </c>
      <c r="J10" s="27">
        <v>1996</v>
      </c>
      <c r="K10" s="27">
        <v>1997</v>
      </c>
      <c r="L10" s="27">
        <v>1998</v>
      </c>
      <c r="M10" s="27">
        <v>1999</v>
      </c>
      <c r="N10" s="27">
        <v>2000</v>
      </c>
      <c r="O10" s="27">
        <v>2001</v>
      </c>
      <c r="P10" s="27">
        <v>2002</v>
      </c>
      <c r="Q10" s="27">
        <v>2003</v>
      </c>
      <c r="R10" s="27">
        <v>2004</v>
      </c>
      <c r="S10" s="27">
        <v>2005</v>
      </c>
      <c r="T10" s="27">
        <v>2006</v>
      </c>
      <c r="U10" s="27">
        <v>2007</v>
      </c>
      <c r="V10" s="27">
        <v>2008</v>
      </c>
      <c r="W10" s="27">
        <v>2009</v>
      </c>
      <c r="X10" s="27">
        <v>2010</v>
      </c>
      <c r="Y10" s="27">
        <v>2011</v>
      </c>
      <c r="Z10" s="27">
        <v>2012</v>
      </c>
      <c r="AA10" s="27">
        <v>2013</v>
      </c>
      <c r="AB10" s="27">
        <v>2014</v>
      </c>
      <c r="AC10" s="27">
        <v>2015</v>
      </c>
      <c r="AD10" s="27">
        <v>2016</v>
      </c>
      <c r="AE10" s="27">
        <v>2017</v>
      </c>
      <c r="AF10" s="27">
        <v>2018</v>
      </c>
      <c r="AG10" s="27">
        <v>2019</v>
      </c>
      <c r="AH10" s="27">
        <v>2020</v>
      </c>
      <c r="AI10" s="27">
        <v>2021</v>
      </c>
      <c r="AJ10" s="27">
        <v>2022</v>
      </c>
      <c r="AK10" s="27">
        <v>2023</v>
      </c>
    </row>
    <row r="11" spans="1:42" x14ac:dyDescent="0.2">
      <c r="C11" s="31" t="s">
        <v>45</v>
      </c>
      <c r="D11" s="7">
        <v>2132.4265959999998</v>
      </c>
      <c r="E11" s="7">
        <v>2173.2441209999997</v>
      </c>
      <c r="F11" s="7">
        <v>2164.3660669999999</v>
      </c>
      <c r="G11" s="7">
        <v>2166.3763280000003</v>
      </c>
      <c r="H11" s="7">
        <v>2201.616751</v>
      </c>
      <c r="I11" s="7">
        <v>2268.0704679999999</v>
      </c>
      <c r="J11" s="7">
        <v>2349.73506</v>
      </c>
      <c r="K11" s="7">
        <v>2363.8654280000001</v>
      </c>
      <c r="L11" s="7">
        <v>2416.847448</v>
      </c>
      <c r="M11" s="7">
        <v>2441.6042000000002</v>
      </c>
      <c r="N11" s="7">
        <v>2512.624499</v>
      </c>
      <c r="O11" s="7">
        <v>2587.5212750000001</v>
      </c>
      <c r="P11" s="7">
        <v>2606.1263210000002</v>
      </c>
      <c r="Q11" s="7">
        <v>2684.3788300000001</v>
      </c>
      <c r="R11" s="7">
        <v>2755.1634210000002</v>
      </c>
      <c r="S11" s="7">
        <v>2772.0625750000004</v>
      </c>
      <c r="T11" s="7">
        <v>2816.251154</v>
      </c>
      <c r="U11" s="7">
        <v>2829.6741779999998</v>
      </c>
      <c r="V11" s="7">
        <v>2843.5753369999998</v>
      </c>
      <c r="W11" s="7">
        <v>2696.338268</v>
      </c>
      <c r="X11" s="7">
        <v>2831.5459460000002</v>
      </c>
      <c r="Y11" s="7">
        <v>2788.784357</v>
      </c>
      <c r="Z11" s="7">
        <v>2786.99055</v>
      </c>
      <c r="AA11" s="7">
        <v>2774.2810509999999</v>
      </c>
      <c r="AB11" s="7">
        <v>2716.8693670000002</v>
      </c>
      <c r="AC11" s="7">
        <v>2760.9852940000001</v>
      </c>
      <c r="AD11" s="7">
        <v>2784.1303369999996</v>
      </c>
      <c r="AE11" s="7">
        <v>2814.99224</v>
      </c>
      <c r="AF11" s="7">
        <v>2802.2218930000004</v>
      </c>
      <c r="AG11" s="7">
        <v>2775.8249519999999</v>
      </c>
      <c r="AH11" s="7">
        <v>2667.3206349999996</v>
      </c>
      <c r="AI11" s="7">
        <v>2788.6557189999999</v>
      </c>
      <c r="AJ11" s="7">
        <v>2698.3767000000003</v>
      </c>
      <c r="AK11" s="9">
        <v>2636.97579</v>
      </c>
    </row>
    <row r="12" spans="1:42" ht="16.149999999999999" customHeight="1" x14ac:dyDescent="0.2">
      <c r="C12" s="15" t="s">
        <v>148</v>
      </c>
      <c r="D12" s="32"/>
      <c r="E12" s="33"/>
      <c r="I12" s="34"/>
      <c r="J12" s="35"/>
      <c r="M12" s="19"/>
      <c r="V12" s="9">
        <f>1-AI11/V11</f>
        <v>1.9313579382053803E-2</v>
      </c>
    </row>
    <row r="13" spans="1:42" x14ac:dyDescent="0.2">
      <c r="D13" s="32"/>
      <c r="E13" s="33"/>
      <c r="I13" s="34"/>
      <c r="J13" s="35"/>
      <c r="M13" s="19"/>
    </row>
    <row r="14" spans="1:42" x14ac:dyDescent="0.2">
      <c r="A14" s="10"/>
      <c r="D14" s="32"/>
      <c r="E14" s="33"/>
      <c r="I14" s="34"/>
      <c r="J14" s="35"/>
      <c r="M14" s="19"/>
    </row>
    <row r="15" spans="1:42" x14ac:dyDescent="0.2">
      <c r="A15" s="36"/>
      <c r="D15" s="32"/>
      <c r="E15" s="33"/>
      <c r="I15" s="34"/>
      <c r="J15" s="35"/>
      <c r="M15" s="19"/>
    </row>
    <row r="16" spans="1:42" x14ac:dyDescent="0.2">
      <c r="C16" s="10"/>
      <c r="D16" s="32"/>
      <c r="E16" s="18"/>
      <c r="M16" s="19"/>
    </row>
    <row r="17" spans="1:30" x14ac:dyDescent="0.2">
      <c r="A17" s="37"/>
      <c r="C17" s="1"/>
      <c r="I17" s="1"/>
      <c r="K17" s="1"/>
      <c r="M17" s="19"/>
    </row>
    <row r="18" spans="1:30" x14ac:dyDescent="0.2"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</row>
    <row r="19" spans="1:30" x14ac:dyDescent="0.2"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</row>
    <row r="20" spans="1:30" x14ac:dyDescent="0.2">
      <c r="M20" s="19"/>
    </row>
    <row r="21" spans="1:30" x14ac:dyDescent="0.2">
      <c r="M21" s="19"/>
    </row>
    <row r="22" spans="1:30" x14ac:dyDescent="0.2">
      <c r="M22" s="19"/>
    </row>
    <row r="24" spans="1:30" x14ac:dyDescent="0.2">
      <c r="E24" s="38"/>
    </row>
    <row r="25" spans="1:30" x14ac:dyDescent="0.2">
      <c r="E25" s="38"/>
    </row>
    <row r="26" spans="1:30" x14ac:dyDescent="0.2">
      <c r="E26" s="38"/>
    </row>
    <row r="27" spans="1:30" x14ac:dyDescent="0.2">
      <c r="E27" s="38"/>
    </row>
    <row r="28" spans="1:30" x14ac:dyDescent="0.2">
      <c r="E28" s="38"/>
    </row>
    <row r="29" spans="1:30" x14ac:dyDescent="0.2">
      <c r="E29" s="38"/>
    </row>
    <row r="30" spans="1:30" x14ac:dyDescent="0.2">
      <c r="E30" s="38"/>
    </row>
    <row r="31" spans="1:30" x14ac:dyDescent="0.2">
      <c r="E31" s="38"/>
    </row>
    <row r="32" spans="1:30" x14ac:dyDescent="0.2">
      <c r="E32" s="38"/>
    </row>
    <row r="33" spans="3:5" x14ac:dyDescent="0.2">
      <c r="E33" s="38"/>
    </row>
    <row r="48" spans="3:5" ht="15" customHeight="1" x14ac:dyDescent="0.2">
      <c r="C48" s="15" t="s">
        <v>148</v>
      </c>
    </row>
    <row r="59" spans="1:1" x14ac:dyDescent="0.2">
      <c r="A59" s="10" t="s">
        <v>35</v>
      </c>
    </row>
    <row r="60" spans="1:1" x14ac:dyDescent="0.2">
      <c r="A60" s="36" t="s">
        <v>80</v>
      </c>
    </row>
    <row r="65" spans="2:37" x14ac:dyDescent="0.2">
      <c r="B65" s="39" t="s">
        <v>163</v>
      </c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</row>
    <row r="66" spans="2:37" x14ac:dyDescent="0.2">
      <c r="B66" s="39" t="s">
        <v>81</v>
      </c>
      <c r="C66" s="40" t="s">
        <v>82</v>
      </c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</row>
    <row r="67" spans="2:37" x14ac:dyDescent="0.2">
      <c r="B67" s="39" t="s">
        <v>83</v>
      </c>
      <c r="C67" s="107">
        <v>45897.958333333336</v>
      </c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</row>
    <row r="68" spans="2:37" x14ac:dyDescent="0.2"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</row>
    <row r="69" spans="2:37" x14ac:dyDescent="0.2">
      <c r="B69" s="40" t="s">
        <v>84</v>
      </c>
      <c r="C69" s="23"/>
      <c r="D69" s="39" t="s">
        <v>85</v>
      </c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</row>
    <row r="70" spans="2:37" x14ac:dyDescent="0.2">
      <c r="B70" s="40" t="s">
        <v>86</v>
      </c>
      <c r="C70" s="23"/>
      <c r="D70" s="39" t="s">
        <v>53</v>
      </c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</row>
    <row r="71" spans="2:37" x14ac:dyDescent="0.2">
      <c r="B71" s="40" t="s">
        <v>87</v>
      </c>
      <c r="C71" s="23"/>
      <c r="D71" s="39" t="s">
        <v>53</v>
      </c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</row>
    <row r="72" spans="2:37" x14ac:dyDescent="0.2">
      <c r="B72" s="40" t="s">
        <v>88</v>
      </c>
      <c r="C72" s="23"/>
      <c r="D72" s="39" t="s">
        <v>89</v>
      </c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</row>
    <row r="73" spans="2:37" x14ac:dyDescent="0.2">
      <c r="B73" s="40" t="s">
        <v>90</v>
      </c>
      <c r="C73" s="23"/>
      <c r="D73" s="39" t="s">
        <v>53</v>
      </c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</row>
    <row r="74" spans="2:37" x14ac:dyDescent="0.2">
      <c r="B74" s="40" t="s">
        <v>91</v>
      </c>
      <c r="C74" s="23"/>
      <c r="D74" s="39" t="s">
        <v>61</v>
      </c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</row>
    <row r="75" spans="2:37" x14ac:dyDescent="0.2"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</row>
    <row r="76" spans="2:37" x14ac:dyDescent="0.2">
      <c r="B76" s="6" t="s">
        <v>74</v>
      </c>
      <c r="C76" s="4"/>
      <c r="D76" s="4" t="s">
        <v>92</v>
      </c>
      <c r="E76" s="4" t="s">
        <v>93</v>
      </c>
      <c r="F76" s="4" t="s">
        <v>94</v>
      </c>
      <c r="G76" s="4" t="s">
        <v>95</v>
      </c>
      <c r="H76" s="4" t="s">
        <v>96</v>
      </c>
      <c r="I76" s="4" t="s">
        <v>97</v>
      </c>
      <c r="J76" s="4" t="s">
        <v>98</v>
      </c>
      <c r="K76" s="4" t="s">
        <v>99</v>
      </c>
      <c r="L76" s="4" t="s">
        <v>100</v>
      </c>
      <c r="M76" s="4" t="s">
        <v>101</v>
      </c>
      <c r="N76" s="4" t="s">
        <v>102</v>
      </c>
      <c r="O76" s="4" t="s">
        <v>103</v>
      </c>
      <c r="P76" s="4" t="s">
        <v>104</v>
      </c>
      <c r="Q76" s="4" t="s">
        <v>105</v>
      </c>
      <c r="R76" s="4" t="s">
        <v>106</v>
      </c>
      <c r="S76" s="4" t="s">
        <v>107</v>
      </c>
      <c r="T76" s="4" t="s">
        <v>108</v>
      </c>
      <c r="U76" s="4" t="s">
        <v>109</v>
      </c>
      <c r="V76" s="4" t="s">
        <v>110</v>
      </c>
      <c r="W76" s="4" t="s">
        <v>111</v>
      </c>
      <c r="X76" s="4" t="s">
        <v>112</v>
      </c>
      <c r="Y76" s="4" t="s">
        <v>75</v>
      </c>
      <c r="Z76" s="4" t="s">
        <v>113</v>
      </c>
      <c r="AA76" s="4" t="s">
        <v>114</v>
      </c>
      <c r="AB76" s="4" t="s">
        <v>115</v>
      </c>
      <c r="AC76" s="4" t="s">
        <v>116</v>
      </c>
      <c r="AD76" s="4" t="s">
        <v>77</v>
      </c>
      <c r="AE76" s="4" t="s">
        <v>117</v>
      </c>
      <c r="AF76" s="4" t="s">
        <v>118</v>
      </c>
      <c r="AG76" s="4" t="s">
        <v>119</v>
      </c>
      <c r="AH76" s="4" t="s">
        <v>120</v>
      </c>
      <c r="AI76" s="4" t="s">
        <v>76</v>
      </c>
      <c r="AJ76" s="4" t="s">
        <v>78</v>
      </c>
      <c r="AK76" s="4" t="s">
        <v>162</v>
      </c>
    </row>
    <row r="77" spans="2:37" x14ac:dyDescent="0.2">
      <c r="B77" s="4" t="s">
        <v>121</v>
      </c>
      <c r="C77" s="5"/>
      <c r="D77" s="5" t="s">
        <v>37</v>
      </c>
      <c r="E77" s="5" t="s">
        <v>37</v>
      </c>
      <c r="F77" s="5" t="s">
        <v>37</v>
      </c>
      <c r="G77" s="5" t="s">
        <v>37</v>
      </c>
      <c r="H77" s="5" t="s">
        <v>37</v>
      </c>
      <c r="I77" s="5" t="s">
        <v>37</v>
      </c>
      <c r="J77" s="5" t="s">
        <v>37</v>
      </c>
      <c r="K77" s="5" t="s">
        <v>37</v>
      </c>
      <c r="L77" s="5" t="s">
        <v>37</v>
      </c>
      <c r="M77" s="5" t="s">
        <v>37</v>
      </c>
      <c r="N77" s="5" t="s">
        <v>37</v>
      </c>
      <c r="O77" s="5" t="s">
        <v>37</v>
      </c>
      <c r="P77" s="5" t="s">
        <v>37</v>
      </c>
      <c r="Q77" s="5" t="s">
        <v>37</v>
      </c>
      <c r="R77" s="5" t="s">
        <v>37</v>
      </c>
      <c r="S77" s="5" t="s">
        <v>37</v>
      </c>
      <c r="T77" s="5" t="s">
        <v>37</v>
      </c>
      <c r="U77" s="5" t="s">
        <v>37</v>
      </c>
      <c r="V77" s="5" t="s">
        <v>37</v>
      </c>
      <c r="W77" s="5" t="s">
        <v>37</v>
      </c>
      <c r="X77" s="5" t="s">
        <v>37</v>
      </c>
      <c r="Y77" s="5" t="s">
        <v>37</v>
      </c>
      <c r="Z77" s="5" t="s">
        <v>37</v>
      </c>
      <c r="AA77" s="5" t="s">
        <v>37</v>
      </c>
      <c r="AB77" s="5" t="s">
        <v>37</v>
      </c>
      <c r="AC77" s="5" t="s">
        <v>37</v>
      </c>
      <c r="AD77" s="5" t="s">
        <v>37</v>
      </c>
      <c r="AE77" s="5" t="s">
        <v>37</v>
      </c>
      <c r="AF77" s="5" t="s">
        <v>37</v>
      </c>
      <c r="AG77" s="5" t="s">
        <v>37</v>
      </c>
      <c r="AH77" s="5" t="s">
        <v>37</v>
      </c>
      <c r="AI77" s="5" t="s">
        <v>37</v>
      </c>
      <c r="AJ77" s="5" t="s">
        <v>37</v>
      </c>
    </row>
    <row r="78" spans="2:37" x14ac:dyDescent="0.2">
      <c r="B78" s="2" t="s">
        <v>50</v>
      </c>
      <c r="C78" s="3"/>
      <c r="D78" s="7">
        <v>2132426.5959999999</v>
      </c>
      <c r="E78" s="7">
        <v>2173244.1209999998</v>
      </c>
      <c r="F78" s="7">
        <v>2164366.0669999998</v>
      </c>
      <c r="G78" s="7">
        <v>2166376.3280000002</v>
      </c>
      <c r="H78" s="7">
        <v>2201616.7510000002</v>
      </c>
      <c r="I78" s="7">
        <v>2268070.4679999999</v>
      </c>
      <c r="J78" s="7">
        <v>2349735.06</v>
      </c>
      <c r="K78" s="7">
        <v>2363865.4279999998</v>
      </c>
      <c r="L78" s="7">
        <v>2416847.4479999999</v>
      </c>
      <c r="M78" s="7">
        <v>2441604.2000000002</v>
      </c>
      <c r="N78" s="7">
        <v>2512624.4989999998</v>
      </c>
      <c r="O78" s="7">
        <v>2587521.2749999999</v>
      </c>
      <c r="P78" s="7">
        <v>2606126.321</v>
      </c>
      <c r="Q78" s="7">
        <v>2684378.83</v>
      </c>
      <c r="R78" s="7">
        <v>2755163.4210000001</v>
      </c>
      <c r="S78" s="7">
        <v>2772062.5750000002</v>
      </c>
      <c r="T78" s="7">
        <v>2816251.1540000001</v>
      </c>
      <c r="U78" s="7">
        <v>2829674.1779999998</v>
      </c>
      <c r="V78" s="7">
        <v>2843575.3369999998</v>
      </c>
      <c r="W78" s="7">
        <v>2696338.2680000002</v>
      </c>
      <c r="X78" s="7">
        <v>2831545.946</v>
      </c>
      <c r="Y78" s="7">
        <v>2788784.3569999998</v>
      </c>
      <c r="Z78" s="7">
        <v>2786990.55</v>
      </c>
      <c r="AA78" s="7">
        <v>2774281.051</v>
      </c>
      <c r="AB78" s="7">
        <v>2716869.3670000001</v>
      </c>
      <c r="AC78" s="7">
        <v>2760985.2940000002</v>
      </c>
      <c r="AD78" s="7">
        <v>2784130.3369999998</v>
      </c>
      <c r="AE78" s="7">
        <v>2814992.24</v>
      </c>
      <c r="AF78" s="7">
        <v>2802221.8930000002</v>
      </c>
      <c r="AG78" s="7">
        <v>2775824.952</v>
      </c>
      <c r="AH78" s="7">
        <v>2667320.6349999998</v>
      </c>
      <c r="AI78" s="7">
        <v>2788655.719</v>
      </c>
      <c r="AJ78" s="7">
        <v>2698376.7</v>
      </c>
      <c r="AK78" s="9">
        <v>2636975.79</v>
      </c>
    </row>
    <row r="79" spans="2:37" x14ac:dyDescent="0.2">
      <c r="C79" s="9" t="s">
        <v>122</v>
      </c>
      <c r="D79" s="9">
        <v>2132.4265959999998</v>
      </c>
      <c r="E79" s="9">
        <v>2173.2441209999997</v>
      </c>
      <c r="F79" s="9">
        <v>2164.3660669999999</v>
      </c>
      <c r="G79" s="9">
        <v>2166.3763280000003</v>
      </c>
      <c r="H79" s="9">
        <v>2201.616751</v>
      </c>
      <c r="I79" s="9">
        <v>2268.0704679999999</v>
      </c>
      <c r="J79" s="9">
        <v>2349.73506</v>
      </c>
      <c r="K79" s="9">
        <v>2363.8654280000001</v>
      </c>
      <c r="L79" s="9">
        <v>2416.847448</v>
      </c>
      <c r="M79" s="9">
        <v>2441.6042000000002</v>
      </c>
      <c r="N79" s="9">
        <v>2512.624499</v>
      </c>
      <c r="O79" s="9">
        <v>2587.5212750000001</v>
      </c>
      <c r="P79" s="9">
        <v>2606.1263210000002</v>
      </c>
      <c r="Q79" s="9">
        <v>2684.3788300000001</v>
      </c>
      <c r="R79" s="9">
        <v>2755.1634210000002</v>
      </c>
      <c r="S79" s="9">
        <v>2772.0625750000004</v>
      </c>
      <c r="T79" s="9">
        <v>2816.251154</v>
      </c>
      <c r="U79" s="9">
        <v>2829.6741779999998</v>
      </c>
      <c r="V79" s="9">
        <v>2843.5753369999998</v>
      </c>
      <c r="W79" s="9">
        <v>2696.338268</v>
      </c>
      <c r="X79" s="9">
        <v>2831.5459460000002</v>
      </c>
      <c r="Y79" s="9">
        <v>2788.784357</v>
      </c>
      <c r="Z79" s="9">
        <v>2786.99055</v>
      </c>
      <c r="AA79" s="9">
        <v>2774.2810509999999</v>
      </c>
      <c r="AB79" s="9">
        <v>2716.8693670000002</v>
      </c>
      <c r="AC79" s="9">
        <v>2760.9852940000001</v>
      </c>
      <c r="AD79" s="9">
        <v>2784.1303369999996</v>
      </c>
      <c r="AE79" s="9">
        <v>2814.99224</v>
      </c>
      <c r="AF79" s="9">
        <v>2802.2218930000004</v>
      </c>
      <c r="AG79" s="9">
        <v>2775.8249519999999</v>
      </c>
      <c r="AH79" s="9">
        <v>2667.3206349999996</v>
      </c>
      <c r="AI79" s="9">
        <v>2788.6557189999999</v>
      </c>
      <c r="AJ79" s="9">
        <v>2698.3767000000003</v>
      </c>
      <c r="AK79" s="9">
        <v>2636.97579</v>
      </c>
    </row>
    <row r="83" spans="1:8" x14ac:dyDescent="0.2">
      <c r="A83" s="9" t="s">
        <v>164</v>
      </c>
    </row>
    <row r="84" spans="1:8" x14ac:dyDescent="0.2">
      <c r="A84" s="9" t="s">
        <v>81</v>
      </c>
      <c r="B84" s="9" t="s">
        <v>156</v>
      </c>
    </row>
    <row r="85" spans="1:8" x14ac:dyDescent="0.2">
      <c r="A85" s="9" t="s">
        <v>83</v>
      </c>
      <c r="B85" s="107">
        <v>45897.958333333336</v>
      </c>
    </row>
    <row r="87" spans="1:8" x14ac:dyDescent="0.2">
      <c r="A87" s="9" t="s">
        <v>84</v>
      </c>
      <c r="C87" s="9" t="s">
        <v>85</v>
      </c>
    </row>
    <row r="88" spans="1:8" x14ac:dyDescent="0.2">
      <c r="A88" s="9" t="s">
        <v>86</v>
      </c>
      <c r="C88" s="9" t="s">
        <v>53</v>
      </c>
    </row>
    <row r="89" spans="1:8" x14ac:dyDescent="0.2">
      <c r="A89" s="9" t="s">
        <v>87</v>
      </c>
      <c r="C89" s="9" t="s">
        <v>53</v>
      </c>
    </row>
    <row r="90" spans="1:8" x14ac:dyDescent="0.2">
      <c r="A90" s="9" t="s">
        <v>88</v>
      </c>
      <c r="C90" s="9" t="s">
        <v>89</v>
      </c>
    </row>
    <row r="91" spans="1:8" x14ac:dyDescent="0.2">
      <c r="A91" s="9" t="s">
        <v>90</v>
      </c>
      <c r="C91" s="9" t="s">
        <v>53</v>
      </c>
    </row>
    <row r="92" spans="1:8" x14ac:dyDescent="0.2">
      <c r="A92" s="9" t="s">
        <v>91</v>
      </c>
      <c r="C92" s="9" t="s">
        <v>61</v>
      </c>
    </row>
    <row r="94" spans="1:8" x14ac:dyDescent="0.2">
      <c r="A94" s="9" t="s">
        <v>74</v>
      </c>
      <c r="B94" s="9">
        <v>2022</v>
      </c>
      <c r="C94" s="9">
        <v>2023</v>
      </c>
      <c r="D94" s="9" t="s">
        <v>165</v>
      </c>
    </row>
    <row r="95" spans="1:8" x14ac:dyDescent="0.2">
      <c r="A95" s="9" t="s">
        <v>121</v>
      </c>
      <c r="B95" s="9" t="s">
        <v>37</v>
      </c>
      <c r="C95" s="9" t="s">
        <v>37</v>
      </c>
    </row>
    <row r="96" spans="1:8" x14ac:dyDescent="0.2">
      <c r="A96" s="9" t="s">
        <v>50</v>
      </c>
      <c r="B96" s="9">
        <v>2698376.7</v>
      </c>
      <c r="C96" s="9">
        <v>2636975.79</v>
      </c>
      <c r="G96" s="9">
        <f>+C96*100/B96</f>
        <v>97.724524155578422</v>
      </c>
      <c r="H96" s="9">
        <f>+G96-100</f>
        <v>-2.2754758444215781</v>
      </c>
    </row>
    <row r="97" spans="1:5" x14ac:dyDescent="0.2">
      <c r="A97" s="9" t="s">
        <v>2</v>
      </c>
      <c r="B97" s="9">
        <v>92332.5</v>
      </c>
      <c r="C97" s="9">
        <v>80700.100000000006</v>
      </c>
      <c r="D97" s="108">
        <v>3.1</v>
      </c>
      <c r="E97" s="17">
        <f>C97/$C$96</f>
        <v>3.0603276793830559E-2</v>
      </c>
    </row>
    <row r="98" spans="1:5" x14ac:dyDescent="0.2">
      <c r="A98" s="9" t="s">
        <v>24</v>
      </c>
      <c r="B98" s="9">
        <v>45959.981</v>
      </c>
      <c r="C98" s="9">
        <v>36923.192000000003</v>
      </c>
      <c r="D98" s="108">
        <v>1.4</v>
      </c>
      <c r="E98" s="17">
        <f t="shared" ref="E98:E123" si="0">C98/$C$96</f>
        <v>1.4002097455737356E-2</v>
      </c>
    </row>
    <row r="99" spans="1:5" x14ac:dyDescent="0.2">
      <c r="A99" s="9" t="s">
        <v>47</v>
      </c>
      <c r="B99" s="9">
        <v>78197.94</v>
      </c>
      <c r="C99" s="9">
        <v>71054.838000000003</v>
      </c>
      <c r="D99" s="108">
        <v>2.7</v>
      </c>
      <c r="E99" s="17">
        <f t="shared" si="0"/>
        <v>2.6945578442341332E-2</v>
      </c>
    </row>
    <row r="100" spans="1:5" x14ac:dyDescent="0.2">
      <c r="A100" s="9" t="s">
        <v>7</v>
      </c>
      <c r="B100" s="9">
        <v>34090.000999999997</v>
      </c>
      <c r="C100" s="9">
        <v>32888.737999999998</v>
      </c>
      <c r="D100" s="108">
        <v>1.2</v>
      </c>
      <c r="E100" s="17">
        <f t="shared" si="0"/>
        <v>1.2472142567528084E-2</v>
      </c>
    </row>
    <row r="101" spans="1:5" x14ac:dyDescent="0.2">
      <c r="A101" s="9" t="s">
        <v>12</v>
      </c>
      <c r="B101" s="9">
        <v>550141</v>
      </c>
      <c r="C101" s="9">
        <v>488501.902</v>
      </c>
      <c r="D101" s="108">
        <v>18.5</v>
      </c>
      <c r="E101" s="17">
        <f t="shared" si="0"/>
        <v>0.18525081036106136</v>
      </c>
    </row>
    <row r="102" spans="1:5" x14ac:dyDescent="0.2">
      <c r="A102" s="9" t="s">
        <v>19</v>
      </c>
      <c r="B102" s="9">
        <v>7523.9719999999998</v>
      </c>
      <c r="C102" s="9">
        <v>4901.1000000000004</v>
      </c>
      <c r="D102" s="108">
        <v>0.2</v>
      </c>
      <c r="E102" s="17">
        <f t="shared" si="0"/>
        <v>1.8586063696853282E-3</v>
      </c>
    </row>
    <row r="103" spans="1:5" x14ac:dyDescent="0.2">
      <c r="A103" s="9" t="s">
        <v>3</v>
      </c>
      <c r="B103" s="9">
        <v>33036.841</v>
      </c>
      <c r="C103" s="9">
        <v>30989.804</v>
      </c>
      <c r="D103" s="108">
        <v>1.2</v>
      </c>
      <c r="E103" s="17">
        <f t="shared" si="0"/>
        <v>1.1752024465874979E-2</v>
      </c>
    </row>
    <row r="104" spans="1:5" x14ac:dyDescent="0.2">
      <c r="A104" s="9" t="s">
        <v>16</v>
      </c>
      <c r="B104" s="9">
        <v>51596.764999999999</v>
      </c>
      <c r="C104" s="9">
        <v>49386.925999999999</v>
      </c>
      <c r="D104" s="108">
        <v>1.9101691135242826</v>
      </c>
      <c r="E104" s="17">
        <f t="shared" si="0"/>
        <v>1.8728623215763386E-2</v>
      </c>
    </row>
    <row r="105" spans="1:5" x14ac:dyDescent="0.2">
      <c r="A105" s="9" t="s">
        <v>14</v>
      </c>
      <c r="B105" s="9">
        <v>283174</v>
      </c>
      <c r="C105" s="9">
        <v>277108.5</v>
      </c>
      <c r="D105" s="108">
        <v>10.483413612328704</v>
      </c>
      <c r="E105" s="17">
        <f t="shared" si="0"/>
        <v>0.10508572018402945</v>
      </c>
    </row>
    <row r="106" spans="1:5" x14ac:dyDescent="0.2">
      <c r="A106" s="9" t="s">
        <v>13</v>
      </c>
      <c r="B106" s="9">
        <v>454562.96899999998</v>
      </c>
      <c r="C106" s="9">
        <v>503116.24400000001</v>
      </c>
      <c r="D106" s="108">
        <v>19.100000000000001</v>
      </c>
      <c r="E106" s="17">
        <f t="shared" si="0"/>
        <v>0.19079289461356791</v>
      </c>
    </row>
    <row r="107" spans="1:5" x14ac:dyDescent="0.2">
      <c r="A107" s="9" t="s">
        <v>26</v>
      </c>
      <c r="B107" s="9">
        <v>13696.4</v>
      </c>
      <c r="C107" s="9">
        <v>17002.8</v>
      </c>
      <c r="D107" s="108">
        <v>0.6</v>
      </c>
      <c r="E107" s="17">
        <f t="shared" si="0"/>
        <v>6.4478407668657435E-3</v>
      </c>
    </row>
    <row r="108" spans="1:5" x14ac:dyDescent="0.2">
      <c r="A108" s="9" t="s">
        <v>15</v>
      </c>
      <c r="B108" s="9">
        <v>274616.239</v>
      </c>
      <c r="C108" s="9">
        <v>256570.071</v>
      </c>
      <c r="D108" s="108">
        <v>9.6999999999999993</v>
      </c>
      <c r="E108" s="17">
        <f t="shared" si="0"/>
        <v>9.7297090088187724E-2</v>
      </c>
    </row>
    <row r="109" spans="1:5" x14ac:dyDescent="0.2">
      <c r="A109" s="9" t="s">
        <v>27</v>
      </c>
      <c r="B109" s="9">
        <v>5025.4480000000003</v>
      </c>
      <c r="C109" s="9">
        <v>5087.0950000000003</v>
      </c>
      <c r="D109" s="108">
        <v>0.18604762432726898</v>
      </c>
      <c r="E109" s="17">
        <f t="shared" si="0"/>
        <v>1.9291398196719888E-3</v>
      </c>
    </row>
    <row r="110" spans="1:5" x14ac:dyDescent="0.2">
      <c r="A110" s="9" t="s">
        <v>10</v>
      </c>
      <c r="B110" s="9">
        <v>4801.32</v>
      </c>
      <c r="C110" s="9">
        <v>6135.0690000000004</v>
      </c>
      <c r="D110" s="108">
        <v>0.17651524581098407</v>
      </c>
      <c r="E110" s="17">
        <f t="shared" si="0"/>
        <v>2.3265549207033107E-3</v>
      </c>
    </row>
    <row r="111" spans="1:5" x14ac:dyDescent="0.2">
      <c r="A111" s="9" t="s">
        <v>9</v>
      </c>
      <c r="B111" s="9">
        <v>4497</v>
      </c>
      <c r="C111" s="9">
        <v>5705.9</v>
      </c>
      <c r="D111" s="108">
        <v>0.16648389687839343</v>
      </c>
      <c r="E111" s="17">
        <f t="shared" si="0"/>
        <v>2.1638044693614725E-3</v>
      </c>
    </row>
    <row r="112" spans="1:5" x14ac:dyDescent="0.2">
      <c r="A112" s="9" t="s">
        <v>1</v>
      </c>
      <c r="B112" s="9">
        <v>2239.866</v>
      </c>
      <c r="C112" s="9">
        <v>2504.5189999999998</v>
      </c>
      <c r="D112" s="108">
        <v>8.2180627479510299E-2</v>
      </c>
      <c r="E112" s="17">
        <f t="shared" si="0"/>
        <v>9.4976943265755187E-4</v>
      </c>
    </row>
    <row r="113" spans="1:5" x14ac:dyDescent="0.2">
      <c r="A113" s="9" t="s">
        <v>21</v>
      </c>
      <c r="B113" s="9">
        <v>33808.36</v>
      </c>
      <c r="C113" s="9">
        <v>33758.521999999997</v>
      </c>
      <c r="D113" s="108">
        <v>1.2506972253603827</v>
      </c>
      <c r="E113" s="17">
        <f t="shared" si="0"/>
        <v>1.2801984048552829E-2</v>
      </c>
    </row>
    <row r="114" spans="1:5" x14ac:dyDescent="0.2">
      <c r="A114" s="9" t="s">
        <v>28</v>
      </c>
      <c r="B114" s="9">
        <v>2241.5430000000001</v>
      </c>
      <c r="C114" s="9">
        <v>2295.9169999999999</v>
      </c>
      <c r="D114" s="108">
        <v>8.2988687078612983E-2</v>
      </c>
      <c r="E114" s="17">
        <f t="shared" si="0"/>
        <v>8.7066290434164358E-4</v>
      </c>
    </row>
    <row r="115" spans="1:5" x14ac:dyDescent="0.2">
      <c r="A115" s="9" t="s">
        <v>4</v>
      </c>
      <c r="B115" s="9">
        <v>117274.344</v>
      </c>
      <c r="C115" s="9">
        <v>117533.912</v>
      </c>
      <c r="D115" s="108">
        <v>4.5</v>
      </c>
      <c r="E115" s="17">
        <f t="shared" si="0"/>
        <v>4.4571479361211731E-2</v>
      </c>
    </row>
    <row r="116" spans="1:5" x14ac:dyDescent="0.2">
      <c r="A116" s="9" t="s">
        <v>5</v>
      </c>
      <c r="B116" s="9">
        <v>66983.998999999996</v>
      </c>
      <c r="C116" s="9">
        <v>72700.146999999997</v>
      </c>
      <c r="D116" s="108">
        <v>2.8</v>
      </c>
      <c r="E116" s="17">
        <f t="shared" si="0"/>
        <v>2.7569516290477585E-2</v>
      </c>
    </row>
    <row r="117" spans="1:5" x14ac:dyDescent="0.2">
      <c r="A117" s="9" t="s">
        <v>22</v>
      </c>
      <c r="B117" s="9">
        <v>167091.95800000001</v>
      </c>
      <c r="C117" s="9">
        <v>156667.43299999999</v>
      </c>
      <c r="D117" s="108">
        <v>5.9</v>
      </c>
      <c r="E117" s="17">
        <f t="shared" si="0"/>
        <v>5.9411782843861449E-2</v>
      </c>
    </row>
    <row r="118" spans="1:5" x14ac:dyDescent="0.2">
      <c r="A118" s="9" t="s">
        <v>18</v>
      </c>
      <c r="B118" s="9">
        <v>48160.938000000002</v>
      </c>
      <c r="C118" s="9">
        <v>48464.529000000002</v>
      </c>
      <c r="D118" s="108">
        <v>1.7829710107980208</v>
      </c>
      <c r="E118" s="17">
        <f t="shared" si="0"/>
        <v>1.8378829712350147E-2</v>
      </c>
    </row>
    <row r="119" spans="1:5" x14ac:dyDescent="0.2">
      <c r="A119" s="9" t="s">
        <v>23</v>
      </c>
      <c r="B119" s="9">
        <v>51004.67</v>
      </c>
      <c r="C119" s="9">
        <v>53268.116000000002</v>
      </c>
      <c r="D119" s="108">
        <v>2</v>
      </c>
      <c r="E119" s="17">
        <f t="shared" si="0"/>
        <v>2.020045697878781E-2</v>
      </c>
    </row>
    <row r="120" spans="1:5" x14ac:dyDescent="0.2">
      <c r="A120" s="9" t="s">
        <v>17</v>
      </c>
      <c r="B120" s="9">
        <v>12868.646000000001</v>
      </c>
      <c r="C120" s="9">
        <v>15132.415999999999</v>
      </c>
      <c r="D120" s="108">
        <v>0.6</v>
      </c>
      <c r="E120" s="17">
        <f t="shared" si="0"/>
        <v>5.7385494616164065E-3</v>
      </c>
    </row>
    <row r="121" spans="1:5" x14ac:dyDescent="0.2">
      <c r="A121" s="9" t="s">
        <v>20</v>
      </c>
      <c r="B121" s="9">
        <v>24294</v>
      </c>
      <c r="C121" s="9">
        <v>27169</v>
      </c>
      <c r="D121" s="108">
        <v>1</v>
      </c>
      <c r="E121" s="17">
        <f t="shared" si="0"/>
        <v>1.0303090420105829E-2</v>
      </c>
    </row>
    <row r="122" spans="1:5" x14ac:dyDescent="0.2">
      <c r="A122" s="9" t="s">
        <v>8</v>
      </c>
      <c r="B122" s="9">
        <v>69160</v>
      </c>
      <c r="C122" s="9">
        <v>78300</v>
      </c>
      <c r="D122" s="108">
        <v>3</v>
      </c>
      <c r="E122" s="17">
        <f t="shared" si="0"/>
        <v>2.969310537356128E-2</v>
      </c>
    </row>
    <row r="123" spans="1:5" x14ac:dyDescent="0.2">
      <c r="A123" s="9" t="s">
        <v>6</v>
      </c>
      <c r="B123" s="9">
        <v>169996</v>
      </c>
      <c r="C123" s="9">
        <v>163109</v>
      </c>
      <c r="D123" s="108">
        <v>6.2</v>
      </c>
      <c r="E123" s="17">
        <f t="shared" si="0"/>
        <v>6.1854568638265731E-2</v>
      </c>
    </row>
    <row r="125" spans="1:5" x14ac:dyDescent="0.2">
      <c r="A125" s="9" t="s">
        <v>41</v>
      </c>
      <c r="B125" s="9" t="s">
        <v>44</v>
      </c>
      <c r="C125" s="9" t="s">
        <v>44</v>
      </c>
    </row>
    <row r="126" spans="1:5" x14ac:dyDescent="0.2">
      <c r="A126" s="9" t="s">
        <v>62</v>
      </c>
      <c r="B126" s="9">
        <v>100.5</v>
      </c>
      <c r="C126" s="9">
        <v>125.5</v>
      </c>
    </row>
    <row r="127" spans="1:5" x14ac:dyDescent="0.2">
      <c r="A127" s="9" t="s">
        <v>25</v>
      </c>
      <c r="B127" s="9">
        <v>146077.30600000001</v>
      </c>
      <c r="C127" s="9">
        <v>154206.48699999999</v>
      </c>
    </row>
    <row r="128" spans="1:5" x14ac:dyDescent="0.2">
      <c r="A128" s="9" t="s">
        <v>11</v>
      </c>
      <c r="B128" s="9" t="s">
        <v>44</v>
      </c>
      <c r="C128" s="9" t="s">
        <v>44</v>
      </c>
    </row>
    <row r="129" spans="1:3" x14ac:dyDescent="0.2">
      <c r="A129" s="9" t="s">
        <v>63</v>
      </c>
      <c r="B129" s="9">
        <v>15218</v>
      </c>
      <c r="C129" s="9">
        <v>16100</v>
      </c>
    </row>
    <row r="130" spans="1:3" x14ac:dyDescent="0.2">
      <c r="A130" s="9" t="s">
        <v>40</v>
      </c>
      <c r="B130" s="9">
        <v>3216.1</v>
      </c>
      <c r="C130" s="9">
        <v>4059.4</v>
      </c>
    </row>
    <row r="131" spans="1:3" x14ac:dyDescent="0.2">
      <c r="A131" s="9" t="s">
        <v>64</v>
      </c>
      <c r="B131" s="9">
        <v>889</v>
      </c>
      <c r="C131" s="9">
        <v>1062.8</v>
      </c>
    </row>
    <row r="132" spans="1:3" x14ac:dyDescent="0.2">
      <c r="A132" s="9" t="s">
        <v>48</v>
      </c>
      <c r="B132" s="9">
        <v>5559.5209999999997</v>
      </c>
      <c r="C132" s="9">
        <v>6481.0739999999996</v>
      </c>
    </row>
    <row r="133" spans="1:3" x14ac:dyDescent="0.2">
      <c r="A133" s="9" t="s">
        <v>65</v>
      </c>
      <c r="B133" s="9">
        <v>13988.2</v>
      </c>
      <c r="C133" s="9">
        <v>14127.370999999999</v>
      </c>
    </row>
    <row r="134" spans="1:3" x14ac:dyDescent="0.2">
      <c r="A134" s="9" t="s">
        <v>39</v>
      </c>
      <c r="B134" s="9">
        <v>6974.241</v>
      </c>
      <c r="C134" s="9">
        <v>8879.7369999999992</v>
      </c>
    </row>
    <row r="135" spans="1:3" x14ac:dyDescent="0.2">
      <c r="A135" s="9" t="s">
        <v>38</v>
      </c>
      <c r="B135" s="9">
        <v>32828.355000000003</v>
      </c>
      <c r="C135" s="9">
        <v>37376.239999999998</v>
      </c>
    </row>
    <row r="136" spans="1:3" x14ac:dyDescent="0.2">
      <c r="A136" s="9" t="s">
        <v>72</v>
      </c>
      <c r="B136" s="9">
        <v>312917.57500000001</v>
      </c>
      <c r="C136" s="9">
        <v>314946.98499999999</v>
      </c>
    </row>
    <row r="137" spans="1:3" x14ac:dyDescent="0.2">
      <c r="A137" s="9" t="s">
        <v>46</v>
      </c>
      <c r="B137" s="9" t="s">
        <v>44</v>
      </c>
      <c r="C137" s="9" t="s">
        <v>44</v>
      </c>
    </row>
    <row r="138" spans="1:3" x14ac:dyDescent="0.2">
      <c r="A138" s="9" t="s">
        <v>70</v>
      </c>
      <c r="B138" s="9" t="s">
        <v>44</v>
      </c>
      <c r="C138" s="9">
        <v>5697.817</v>
      </c>
    </row>
    <row r="140" spans="1:3" x14ac:dyDescent="0.2">
      <c r="A140" s="9" t="s">
        <v>132</v>
      </c>
    </row>
    <row r="141" spans="1:3" x14ac:dyDescent="0.2">
      <c r="A141" s="9" t="s">
        <v>44</v>
      </c>
      <c r="B141" s="9" t="s">
        <v>133</v>
      </c>
    </row>
    <row r="144" spans="1:3" x14ac:dyDescent="0.2">
      <c r="A144" s="9" t="s">
        <v>35</v>
      </c>
      <c r="C144" s="106" t="s">
        <v>157</v>
      </c>
    </row>
  </sheetData>
  <phoneticPr fontId="1" type="noConversion"/>
  <hyperlinks>
    <hyperlink ref="A60" r:id="rId1" display="https://ec.europa.eu/eurostat/databrowser/view/nrg_ind_peh__custom_12582952/default/table?lang=en" xr:uid="{DC748DF3-48B2-42D7-9C04-B6B6C39A7BEF}"/>
    <hyperlink ref="C144" r:id="rId2" xr:uid="{C89E2985-F979-43F4-8B9F-6E70B7AA72DB}"/>
  </hyperlinks>
  <pageMargins left="0.7" right="0.7" top="0.75" bottom="0.75" header="0.3" footer="0.3"/>
  <pageSetup paperSize="9" orientation="portrait" r:id="rId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BR293"/>
  <sheetViews>
    <sheetView showGridLines="0" topLeftCell="A99" zoomScaleNormal="100" workbookViewId="0">
      <selection activeCell="U31" sqref="U31"/>
    </sheetView>
  </sheetViews>
  <sheetFormatPr defaultColWidth="9.140625" defaultRowHeight="12.75" x14ac:dyDescent="0.2"/>
  <cols>
    <col min="1" max="2" width="9.140625" style="9" customWidth="1"/>
    <col min="3" max="3" width="17.85546875" style="9" customWidth="1"/>
    <col min="4" max="4" width="8.85546875" style="9" customWidth="1"/>
    <col min="5" max="10" width="11.5703125" style="9" customWidth="1"/>
    <col min="11" max="11" width="15.140625" style="9" customWidth="1"/>
    <col min="12" max="13" width="15.85546875" style="9" customWidth="1"/>
    <col min="14" max="14" width="9.140625" style="9"/>
    <col min="15" max="15" width="9.42578125" style="9" bestFit="1" customWidth="1"/>
    <col min="16" max="16384" width="9.140625" style="9"/>
  </cols>
  <sheetData>
    <row r="1" spans="1:27" x14ac:dyDescent="0.2">
      <c r="A1" s="41"/>
    </row>
    <row r="2" spans="1:27" s="10" customFormat="1" x14ac:dyDescent="0.2">
      <c r="A2" s="9"/>
    </row>
    <row r="3" spans="1:27" s="10" customFormat="1" x14ac:dyDescent="0.2">
      <c r="C3" s="10" t="s">
        <v>0</v>
      </c>
    </row>
    <row r="4" spans="1:27" s="10" customFormat="1" x14ac:dyDescent="0.2">
      <c r="C4" s="10" t="s">
        <v>34</v>
      </c>
    </row>
    <row r="5" spans="1:27" s="10" customFormat="1" x14ac:dyDescent="0.2"/>
    <row r="6" spans="1:27" s="12" customFormat="1" ht="15.75" x14ac:dyDescent="0.25">
      <c r="A6" s="11"/>
      <c r="C6" s="101" t="s">
        <v>171</v>
      </c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</row>
    <row r="7" spans="1:27" s="28" customFormat="1" ht="14.25" x14ac:dyDescent="0.2">
      <c r="C7" s="102" t="s">
        <v>43</v>
      </c>
      <c r="D7" s="1"/>
      <c r="E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x14ac:dyDescent="0.2">
      <c r="D8" s="42"/>
      <c r="E8" s="42"/>
      <c r="F8" s="42"/>
      <c r="G8" s="42"/>
      <c r="H8" s="42"/>
      <c r="I8" s="42"/>
    </row>
    <row r="9" spans="1:27" x14ac:dyDescent="0.2">
      <c r="F9" s="18"/>
      <c r="G9" s="1"/>
      <c r="H9" s="18"/>
      <c r="I9" s="18"/>
    </row>
    <row r="10" spans="1:27" ht="16.149999999999999" customHeight="1" x14ac:dyDescent="0.2">
      <c r="A10" s="43"/>
      <c r="C10" s="27"/>
      <c r="D10" s="27" t="s">
        <v>42</v>
      </c>
      <c r="E10" s="44"/>
      <c r="F10" s="45"/>
      <c r="G10" s="89" t="s">
        <v>148</v>
      </c>
      <c r="H10" s="45"/>
      <c r="J10" s="46"/>
    </row>
    <row r="11" spans="1:27" s="48" customFormat="1" x14ac:dyDescent="0.2">
      <c r="A11" s="42"/>
      <c r="B11" s="42"/>
      <c r="C11" s="90" t="s">
        <v>69</v>
      </c>
      <c r="D11" s="91">
        <v>-4.9000000000000004</v>
      </c>
      <c r="E11" s="47"/>
      <c r="F11" s="47"/>
      <c r="G11" s="47"/>
      <c r="H11" s="47"/>
      <c r="J11" s="47"/>
      <c r="K11" s="42"/>
      <c r="L11" s="42"/>
      <c r="M11" s="42"/>
    </row>
    <row r="12" spans="1:27" s="48" customFormat="1" x14ac:dyDescent="0.2">
      <c r="A12" s="42"/>
      <c r="B12" s="42"/>
      <c r="C12" s="92"/>
      <c r="D12" s="92"/>
      <c r="E12" s="47"/>
      <c r="F12" s="47"/>
      <c r="G12" s="47"/>
      <c r="H12" s="47"/>
      <c r="J12" s="47"/>
      <c r="K12" s="42"/>
      <c r="L12" s="42"/>
      <c r="M12" s="42"/>
    </row>
    <row r="13" spans="1:27" s="48" customFormat="1" x14ac:dyDescent="0.2">
      <c r="A13" s="42"/>
      <c r="B13" s="42"/>
      <c r="C13" s="12" t="s">
        <v>9</v>
      </c>
      <c r="D13" s="50">
        <v>28.193664345090987</v>
      </c>
      <c r="E13" s="14"/>
      <c r="F13" s="47"/>
      <c r="G13" s="47"/>
      <c r="H13" s="47"/>
      <c r="J13" s="47"/>
      <c r="K13" s="42"/>
      <c r="L13" s="42"/>
      <c r="M13" s="42"/>
    </row>
    <row r="14" spans="1:27" s="48" customFormat="1" x14ac:dyDescent="0.2">
      <c r="A14" s="42"/>
      <c r="B14" s="42"/>
      <c r="C14" s="12" t="s">
        <v>26</v>
      </c>
      <c r="D14" s="50">
        <v>24.471449487554906</v>
      </c>
      <c r="E14" s="14"/>
      <c r="F14" s="47"/>
      <c r="G14" s="47"/>
      <c r="H14" s="47"/>
      <c r="J14" s="47"/>
      <c r="K14" s="42"/>
      <c r="L14" s="42"/>
      <c r="M14" s="42"/>
    </row>
    <row r="15" spans="1:27" s="48" customFormat="1" x14ac:dyDescent="0.2">
      <c r="A15" s="42"/>
      <c r="B15" s="42"/>
      <c r="C15" s="12" t="s">
        <v>27</v>
      </c>
      <c r="D15" s="50">
        <v>23.498808611981371</v>
      </c>
      <c r="E15" s="14"/>
      <c r="F15" s="47"/>
      <c r="G15" s="47"/>
      <c r="H15" s="47"/>
      <c r="J15" s="47"/>
      <c r="K15" s="42"/>
      <c r="L15" s="42"/>
      <c r="M15" s="42"/>
    </row>
    <row r="16" spans="1:27" s="48" customFormat="1" x14ac:dyDescent="0.2">
      <c r="A16" s="42"/>
      <c r="B16" s="42"/>
      <c r="C16" s="12" t="s">
        <v>3</v>
      </c>
      <c r="D16" s="50">
        <v>23.385060893042752</v>
      </c>
      <c r="E16" s="14"/>
      <c r="F16" s="47"/>
      <c r="G16" s="47"/>
      <c r="H16" s="47"/>
      <c r="J16" s="47"/>
      <c r="K16" s="42"/>
      <c r="L16" s="42"/>
      <c r="M16" s="42"/>
    </row>
    <row r="17" spans="1:13" s="48" customFormat="1" x14ac:dyDescent="0.2">
      <c r="A17" s="42"/>
      <c r="B17" s="42"/>
      <c r="C17" s="12" t="s">
        <v>4</v>
      </c>
      <c r="D17" s="50">
        <v>20.609714198560237</v>
      </c>
      <c r="E17" s="14"/>
      <c r="F17" s="47"/>
      <c r="G17" s="47"/>
      <c r="H17" s="47"/>
      <c r="J17" s="47"/>
      <c r="K17" s="42"/>
      <c r="L17" s="42"/>
      <c r="M17" s="42"/>
    </row>
    <row r="18" spans="1:13" s="48" customFormat="1" x14ac:dyDescent="0.2">
      <c r="A18" s="42"/>
      <c r="B18" s="42"/>
      <c r="C18" s="12" t="s">
        <v>21</v>
      </c>
      <c r="D18" s="50">
        <v>20.432813670578987</v>
      </c>
      <c r="E18" s="14"/>
      <c r="F18" s="47"/>
      <c r="G18" s="47"/>
      <c r="H18" s="47"/>
      <c r="J18" s="47"/>
      <c r="K18" s="42"/>
      <c r="L18" s="42"/>
      <c r="M18" s="42"/>
    </row>
    <row r="19" spans="1:13" s="48" customFormat="1" x14ac:dyDescent="0.2">
      <c r="A19" s="42"/>
      <c r="B19" s="42"/>
      <c r="C19" s="12" t="s">
        <v>8</v>
      </c>
      <c r="D19" s="50">
        <v>14.552397114976667</v>
      </c>
      <c r="E19" s="14"/>
      <c r="F19" s="47"/>
      <c r="G19" s="47"/>
      <c r="H19" s="47"/>
      <c r="J19" s="47"/>
      <c r="K19" s="42"/>
      <c r="L19" s="42"/>
      <c r="M19" s="42"/>
    </row>
    <row r="20" spans="1:13" s="48" customFormat="1" x14ac:dyDescent="0.2">
      <c r="A20" s="42"/>
      <c r="B20" s="42"/>
      <c r="C20" s="12" t="s">
        <v>5</v>
      </c>
      <c r="D20" s="50">
        <v>11.401295831963409</v>
      </c>
      <c r="E20" s="14"/>
      <c r="F20" s="47"/>
      <c r="G20" s="47"/>
      <c r="H20" s="47"/>
      <c r="J20" s="47"/>
      <c r="K20" s="42"/>
      <c r="L20" s="42"/>
      <c r="M20" s="42"/>
    </row>
    <row r="21" spans="1:13" s="48" customFormat="1" x14ac:dyDescent="0.2">
      <c r="A21" s="42"/>
      <c r="B21" s="42"/>
      <c r="C21" s="12" t="s">
        <v>6</v>
      </c>
      <c r="D21" s="50">
        <v>9.0745558014966079</v>
      </c>
      <c r="E21" s="14"/>
      <c r="F21" s="47"/>
      <c r="G21" s="47"/>
      <c r="H21" s="47"/>
      <c r="J21" s="47"/>
      <c r="K21" s="42"/>
      <c r="L21" s="42"/>
      <c r="M21" s="42"/>
    </row>
    <row r="22" spans="1:13" s="48" customFormat="1" x14ac:dyDescent="0.2">
      <c r="A22" s="42"/>
      <c r="B22" s="42"/>
      <c r="C22" s="12" t="s">
        <v>28</v>
      </c>
      <c r="D22" s="50">
        <v>7.4364529714552985</v>
      </c>
      <c r="E22" s="14"/>
      <c r="F22" s="47"/>
      <c r="G22" s="47"/>
      <c r="H22" s="47"/>
      <c r="J22" s="47"/>
      <c r="K22" s="42"/>
      <c r="L22" s="42"/>
      <c r="M22" s="42"/>
    </row>
    <row r="23" spans="1:13" s="48" customFormat="1" x14ac:dyDescent="0.2">
      <c r="A23" s="42"/>
      <c r="B23" s="42"/>
      <c r="C23" s="12" t="s">
        <v>10</v>
      </c>
      <c r="D23" s="50">
        <v>5.7790578786839131</v>
      </c>
      <c r="E23" s="14"/>
      <c r="F23" s="47"/>
      <c r="G23" s="47"/>
      <c r="H23" s="47"/>
      <c r="J23" s="47"/>
      <c r="K23" s="42"/>
      <c r="L23" s="42"/>
      <c r="M23" s="42"/>
    </row>
    <row r="24" spans="1:13" s="48" customFormat="1" x14ac:dyDescent="0.2">
      <c r="A24" s="42"/>
      <c r="B24" s="42"/>
      <c r="C24" s="12" t="s">
        <v>22</v>
      </c>
      <c r="D24" s="50">
        <v>4.3899766123175032</v>
      </c>
      <c r="E24" s="14"/>
      <c r="F24" s="47"/>
      <c r="G24" s="47"/>
      <c r="H24" s="47"/>
      <c r="J24" s="47"/>
      <c r="K24" s="42"/>
      <c r="L24" s="42"/>
      <c r="M24" s="42"/>
    </row>
    <row r="25" spans="1:13" s="48" customFormat="1" x14ac:dyDescent="0.2">
      <c r="A25" s="42"/>
      <c r="B25" s="42"/>
      <c r="C25" s="12" t="s">
        <v>14</v>
      </c>
      <c r="D25" s="50">
        <v>0.6207357325189955</v>
      </c>
      <c r="E25" s="14"/>
      <c r="F25" s="47"/>
      <c r="G25" s="47"/>
      <c r="H25" s="47"/>
      <c r="J25" s="47"/>
      <c r="K25" s="42"/>
      <c r="L25" s="42"/>
      <c r="M25" s="42"/>
    </row>
    <row r="26" spans="1:13" s="48" customFormat="1" x14ac:dyDescent="0.2">
      <c r="A26" s="42"/>
      <c r="B26" s="42"/>
      <c r="C26" s="12" t="s">
        <v>2</v>
      </c>
      <c r="D26" s="50">
        <v>0.50276226580521222</v>
      </c>
      <c r="E26" s="14"/>
      <c r="F26" s="47"/>
      <c r="G26" s="47"/>
      <c r="H26" s="47"/>
      <c r="J26" s="47"/>
      <c r="K26" s="42"/>
      <c r="L26" s="42"/>
      <c r="M26" s="42"/>
    </row>
    <row r="27" spans="1:13" s="48" customFormat="1" x14ac:dyDescent="0.2">
      <c r="A27" s="42"/>
      <c r="B27" s="42"/>
      <c r="C27" s="12" t="s">
        <v>17</v>
      </c>
      <c r="D27" s="50">
        <v>0.10197790566910392</v>
      </c>
      <c r="E27" s="14"/>
      <c r="F27" s="47"/>
      <c r="G27" s="47"/>
      <c r="H27" s="47"/>
      <c r="J27" s="47"/>
      <c r="K27" s="42"/>
      <c r="L27" s="42"/>
      <c r="M27" s="42"/>
    </row>
    <row r="28" spans="1:13" s="48" customFormat="1" x14ac:dyDescent="0.2">
      <c r="A28" s="42"/>
      <c r="B28" s="42"/>
      <c r="C28" s="12" t="s">
        <v>20</v>
      </c>
      <c r="D28" s="51">
        <v>-1.1040777270721058E-2</v>
      </c>
      <c r="E28" s="14"/>
      <c r="F28" s="47"/>
      <c r="G28" s="47"/>
      <c r="H28" s="47"/>
      <c r="J28" s="47"/>
      <c r="K28" s="42"/>
      <c r="L28" s="42"/>
      <c r="M28" s="42"/>
    </row>
    <row r="29" spans="1:13" s="48" customFormat="1" x14ac:dyDescent="0.2">
      <c r="A29" s="42"/>
      <c r="B29" s="42"/>
      <c r="C29" s="12" t="s">
        <v>7</v>
      </c>
      <c r="D29" s="50">
        <v>-0.75256523272110298</v>
      </c>
      <c r="E29" s="14"/>
      <c r="F29" s="47"/>
      <c r="G29" s="47"/>
      <c r="H29" s="47"/>
      <c r="J29" s="47"/>
      <c r="K29" s="42"/>
      <c r="L29" s="42"/>
      <c r="M29" s="42"/>
    </row>
    <row r="30" spans="1:13" s="48" customFormat="1" x14ac:dyDescent="0.2">
      <c r="A30" s="42"/>
      <c r="B30" s="42"/>
      <c r="C30" s="12" t="s">
        <v>23</v>
      </c>
      <c r="D30" s="50">
        <v>-1.599519710348396</v>
      </c>
      <c r="E30" s="14"/>
      <c r="F30" s="47"/>
      <c r="G30" s="47"/>
      <c r="H30" s="47"/>
      <c r="J30" s="47"/>
      <c r="K30" s="42"/>
      <c r="L30" s="42"/>
      <c r="M30" s="42"/>
    </row>
    <row r="31" spans="1:13" s="48" customFormat="1" x14ac:dyDescent="0.2">
      <c r="A31" s="42"/>
      <c r="B31" s="42"/>
      <c r="C31" s="12" t="s">
        <v>18</v>
      </c>
      <c r="D31" s="50">
        <v>-3.8627114041633548</v>
      </c>
      <c r="E31" s="14"/>
      <c r="F31" s="47"/>
      <c r="G31" s="47"/>
      <c r="H31" s="47"/>
      <c r="J31" s="47"/>
      <c r="K31" s="42"/>
      <c r="L31" s="42"/>
      <c r="M31" s="42"/>
    </row>
    <row r="32" spans="1:13" s="48" customFormat="1" x14ac:dyDescent="0.2">
      <c r="A32" s="42"/>
      <c r="B32" s="42"/>
      <c r="C32" s="12" t="s">
        <v>16</v>
      </c>
      <c r="D32" s="50">
        <v>-6.0370509893455164</v>
      </c>
      <c r="E32" s="14"/>
      <c r="F32" s="47"/>
      <c r="G32" s="47"/>
      <c r="H32" s="47"/>
      <c r="J32" s="47"/>
      <c r="K32" s="42"/>
      <c r="L32" s="42"/>
      <c r="M32" s="42"/>
    </row>
    <row r="33" spans="1:13" s="48" customFormat="1" x14ac:dyDescent="0.2">
      <c r="A33" s="42"/>
      <c r="B33" s="42"/>
      <c r="C33" s="12" t="s">
        <v>24</v>
      </c>
      <c r="D33" s="50">
        <v>-7.3422369444653519</v>
      </c>
      <c r="E33" s="14"/>
      <c r="F33" s="47"/>
      <c r="G33" s="47"/>
      <c r="H33" s="47"/>
      <c r="J33" s="47"/>
      <c r="K33" s="42"/>
      <c r="L33" s="42"/>
      <c r="M33" s="42"/>
    </row>
    <row r="34" spans="1:13" s="48" customFormat="1" x14ac:dyDescent="0.2">
      <c r="A34" s="42"/>
      <c r="B34" s="42"/>
      <c r="C34" s="12" t="s">
        <v>15</v>
      </c>
      <c r="D34" s="50">
        <v>-7.9844529524641716</v>
      </c>
      <c r="E34" s="14"/>
      <c r="F34" s="47"/>
      <c r="G34" s="47"/>
      <c r="H34" s="47"/>
      <c r="J34" s="47"/>
      <c r="K34" s="42"/>
      <c r="L34" s="42"/>
      <c r="M34" s="42"/>
    </row>
    <row r="35" spans="1:13" s="48" customFormat="1" x14ac:dyDescent="0.2">
      <c r="A35" s="42"/>
      <c r="B35" s="42"/>
      <c r="C35" s="12" t="s">
        <v>13</v>
      </c>
      <c r="D35" s="50">
        <v>-9.8340406532764657</v>
      </c>
      <c r="E35" s="14"/>
      <c r="F35" s="47"/>
      <c r="G35" s="47"/>
      <c r="H35" s="47"/>
      <c r="J35" s="47"/>
      <c r="K35" s="42"/>
      <c r="L35" s="42"/>
      <c r="M35" s="42"/>
    </row>
    <row r="36" spans="1:13" s="48" customFormat="1" x14ac:dyDescent="0.2">
      <c r="A36" s="42"/>
      <c r="B36" s="42"/>
      <c r="C36" s="12" t="s">
        <v>47</v>
      </c>
      <c r="D36" s="50">
        <v>-10.933178735725836</v>
      </c>
      <c r="E36" s="14"/>
      <c r="F36" s="47"/>
      <c r="G36" s="47"/>
      <c r="H36" s="47"/>
      <c r="J36" s="47"/>
      <c r="K36" s="42"/>
      <c r="L36" s="42"/>
      <c r="M36" s="42"/>
    </row>
    <row r="37" spans="1:13" s="48" customFormat="1" x14ac:dyDescent="0.2">
      <c r="A37" s="42"/>
      <c r="B37" s="42"/>
      <c r="C37" s="12" t="s">
        <v>1</v>
      </c>
      <c r="D37" s="50">
        <v>-12.440702580681041</v>
      </c>
      <c r="E37" s="14"/>
      <c r="F37" s="47"/>
      <c r="G37" s="47"/>
      <c r="H37" s="47"/>
      <c r="J37" s="47"/>
      <c r="K37" s="42"/>
      <c r="L37" s="42"/>
      <c r="M37" s="42"/>
    </row>
    <row r="38" spans="1:13" s="48" customFormat="1" x14ac:dyDescent="0.2">
      <c r="A38" s="42"/>
      <c r="B38" s="42"/>
      <c r="C38" s="12" t="s">
        <v>12</v>
      </c>
      <c r="D38" s="50">
        <v>-18.708476251651618</v>
      </c>
      <c r="E38" s="14"/>
      <c r="F38" s="47"/>
      <c r="H38" s="47"/>
      <c r="J38" s="47"/>
      <c r="K38" s="42"/>
      <c r="L38" s="42"/>
      <c r="M38" s="42"/>
    </row>
    <row r="39" spans="1:13" s="48" customFormat="1" ht="15" customHeight="1" x14ac:dyDescent="0.2">
      <c r="A39" s="42"/>
      <c r="B39" s="42"/>
      <c r="C39" s="12" t="s">
        <v>19</v>
      </c>
      <c r="D39" s="50">
        <v>-58.546054300938842</v>
      </c>
      <c r="E39" s="14"/>
      <c r="F39" s="47"/>
      <c r="H39" s="47"/>
      <c r="J39" s="47"/>
      <c r="K39" s="42"/>
      <c r="L39" s="42"/>
      <c r="M39" s="42"/>
    </row>
    <row r="40" spans="1:13" s="48" customFormat="1" x14ac:dyDescent="0.2">
      <c r="A40" s="42"/>
      <c r="B40" s="42"/>
      <c r="C40" s="52"/>
      <c r="D40" s="53"/>
      <c r="E40" s="14"/>
      <c r="F40" s="47"/>
      <c r="G40" s="47"/>
      <c r="H40" s="47"/>
      <c r="J40" s="47"/>
      <c r="K40" s="42"/>
      <c r="L40" s="42"/>
      <c r="M40" s="42"/>
    </row>
    <row r="41" spans="1:13" s="48" customFormat="1" x14ac:dyDescent="0.2">
      <c r="A41" s="42"/>
      <c r="B41" s="42"/>
      <c r="C41" s="49" t="s">
        <v>25</v>
      </c>
      <c r="D41" s="50">
        <v>15.52345731730156</v>
      </c>
      <c r="E41" s="14"/>
      <c r="F41" s="47"/>
      <c r="G41" s="47"/>
      <c r="H41" s="47"/>
      <c r="J41" s="47"/>
      <c r="K41" s="42"/>
      <c r="L41" s="42"/>
      <c r="M41" s="42"/>
    </row>
    <row r="42" spans="1:13" s="48" customFormat="1" x14ac:dyDescent="0.2">
      <c r="A42" s="42"/>
      <c r="B42" s="42"/>
      <c r="C42" s="52"/>
      <c r="D42" s="53"/>
      <c r="E42" s="14"/>
      <c r="F42" s="47"/>
      <c r="G42" s="47"/>
      <c r="H42" s="47"/>
      <c r="J42" s="47"/>
      <c r="K42" s="42"/>
      <c r="L42" s="42"/>
      <c r="M42" s="42"/>
    </row>
    <row r="43" spans="1:13" s="48" customFormat="1" x14ac:dyDescent="0.2">
      <c r="A43" s="42"/>
      <c r="B43" s="42"/>
      <c r="C43" s="52" t="s">
        <v>65</v>
      </c>
      <c r="D43" s="53">
        <v>43.27962474645031</v>
      </c>
      <c r="E43" s="14"/>
      <c r="F43" s="47"/>
      <c r="G43" s="47"/>
      <c r="H43" s="47"/>
      <c r="J43" s="47"/>
      <c r="K43" s="42"/>
      <c r="L43" s="42"/>
      <c r="M43" s="42"/>
    </row>
    <row r="44" spans="1:13" s="48" customFormat="1" x14ac:dyDescent="0.2">
      <c r="A44" s="42"/>
      <c r="B44" s="42"/>
      <c r="C44" s="52" t="s">
        <v>72</v>
      </c>
      <c r="D44" s="53">
        <v>37.545249086152751</v>
      </c>
      <c r="E44" s="14"/>
      <c r="F44" s="47"/>
      <c r="G44" s="47"/>
      <c r="H44" s="47"/>
      <c r="J44" s="47"/>
      <c r="K44" s="42"/>
      <c r="L44" s="42"/>
      <c r="M44" s="42"/>
    </row>
    <row r="45" spans="1:13" s="48" customFormat="1" x14ac:dyDescent="0.2">
      <c r="A45" s="42"/>
      <c r="B45" s="42"/>
      <c r="C45" s="52" t="s">
        <v>64</v>
      </c>
      <c r="D45" s="53">
        <v>36.081946222791281</v>
      </c>
      <c r="E45" s="14"/>
      <c r="F45" s="47"/>
      <c r="G45" s="47"/>
      <c r="H45" s="47"/>
      <c r="J45" s="47"/>
      <c r="K45" s="42"/>
      <c r="L45" s="42"/>
      <c r="M45" s="42"/>
    </row>
    <row r="46" spans="1:13" s="48" customFormat="1" x14ac:dyDescent="0.2">
      <c r="A46" s="42"/>
      <c r="B46" s="42"/>
      <c r="C46" s="92" t="s">
        <v>39</v>
      </c>
      <c r="D46" s="53">
        <v>27.76599999999998</v>
      </c>
      <c r="E46" s="14"/>
      <c r="F46" s="47"/>
      <c r="G46" s="47"/>
      <c r="H46" s="47"/>
      <c r="J46" s="47"/>
      <c r="K46" s="42"/>
      <c r="L46" s="42"/>
      <c r="M46" s="42"/>
    </row>
    <row r="47" spans="1:13" s="48" customFormat="1" x14ac:dyDescent="0.2">
      <c r="A47" s="42"/>
      <c r="B47" s="42"/>
      <c r="C47" s="52" t="s">
        <v>48</v>
      </c>
      <c r="D47" s="53">
        <v>14.264351198871639</v>
      </c>
      <c r="E47" s="14"/>
      <c r="F47" s="47"/>
      <c r="G47" s="47"/>
      <c r="H47" s="47"/>
      <c r="J47" s="47"/>
      <c r="K47" s="42"/>
      <c r="L47" s="42"/>
      <c r="M47" s="42"/>
    </row>
    <row r="48" spans="1:13" s="48" customFormat="1" x14ac:dyDescent="0.2">
      <c r="A48" s="42"/>
      <c r="B48" s="42"/>
      <c r="C48" s="52" t="s">
        <v>40</v>
      </c>
      <c r="D48" s="53">
        <v>6.5739039117878706</v>
      </c>
      <c r="E48" s="14"/>
      <c r="F48" s="47"/>
      <c r="G48" s="47"/>
      <c r="H48" s="47"/>
      <c r="J48" s="54"/>
      <c r="K48" s="42"/>
      <c r="L48" s="42"/>
      <c r="M48" s="42"/>
    </row>
    <row r="49" spans="1:13" s="48" customFormat="1" x14ac:dyDescent="0.2">
      <c r="A49" s="42"/>
      <c r="B49" s="42"/>
      <c r="C49" s="52" t="s">
        <v>38</v>
      </c>
      <c r="D49" s="53">
        <v>0.55485606672047716</v>
      </c>
      <c r="E49" s="47"/>
      <c r="F49" s="47"/>
      <c r="G49" s="47"/>
      <c r="H49" s="47"/>
      <c r="J49" s="54"/>
      <c r="K49" s="42"/>
      <c r="L49" s="42"/>
      <c r="M49" s="42"/>
    </row>
    <row r="50" spans="1:13" s="48" customFormat="1" x14ac:dyDescent="0.2">
      <c r="A50" s="42"/>
      <c r="B50" s="42"/>
      <c r="C50" s="55" t="s">
        <v>70</v>
      </c>
      <c r="D50" s="56">
        <v>-2.7842177102883503</v>
      </c>
      <c r="E50" s="47"/>
      <c r="F50" s="47"/>
      <c r="G50" s="47"/>
      <c r="H50" s="47"/>
      <c r="J50" s="54"/>
      <c r="K50" s="42"/>
      <c r="L50" s="42"/>
      <c r="M50" s="42"/>
    </row>
    <row r="51" spans="1:13" s="48" customFormat="1" x14ac:dyDescent="0.2">
      <c r="A51" s="42"/>
      <c r="B51" s="42"/>
      <c r="D51" s="57"/>
      <c r="E51" s="47"/>
      <c r="F51" s="47"/>
      <c r="G51" s="47"/>
      <c r="H51" s="47"/>
      <c r="J51" s="54"/>
      <c r="K51" s="42"/>
      <c r="L51" s="42"/>
      <c r="M51" s="42"/>
    </row>
    <row r="52" spans="1:13" x14ac:dyDescent="0.2">
      <c r="H52" s="47"/>
      <c r="I52" s="48"/>
      <c r="J52" s="54"/>
      <c r="K52" s="42"/>
      <c r="L52" s="42"/>
    </row>
    <row r="53" spans="1:13" x14ac:dyDescent="0.2">
      <c r="A53" s="10" t="s">
        <v>35</v>
      </c>
      <c r="H53" s="47"/>
      <c r="I53" s="48"/>
      <c r="J53" s="54"/>
      <c r="K53" s="42"/>
      <c r="L53" s="42"/>
    </row>
    <row r="54" spans="1:13" x14ac:dyDescent="0.2">
      <c r="A54" s="36" t="s">
        <v>80</v>
      </c>
      <c r="H54" s="47"/>
      <c r="I54" s="48"/>
      <c r="J54" s="54"/>
      <c r="K54" s="42"/>
      <c r="L54" s="42"/>
    </row>
    <row r="55" spans="1:13" x14ac:dyDescent="0.2">
      <c r="H55" s="47"/>
      <c r="I55" s="48"/>
      <c r="J55" s="54"/>
      <c r="K55" s="42"/>
      <c r="L55" s="42"/>
    </row>
    <row r="56" spans="1:13" x14ac:dyDescent="0.2">
      <c r="C56" s="39" t="s">
        <v>168</v>
      </c>
      <c r="D56" s="23"/>
      <c r="E56" s="23"/>
      <c r="F56" s="23"/>
    </row>
    <row r="57" spans="1:13" x14ac:dyDescent="0.2">
      <c r="C57" s="39" t="s">
        <v>81</v>
      </c>
      <c r="D57" s="40" t="s">
        <v>140</v>
      </c>
      <c r="E57" s="23"/>
      <c r="F57" s="23"/>
    </row>
    <row r="58" spans="1:13" x14ac:dyDescent="0.2">
      <c r="C58" s="39" t="s">
        <v>83</v>
      </c>
      <c r="D58" s="107">
        <v>45897.958333333336</v>
      </c>
      <c r="E58" s="23"/>
      <c r="F58" s="23"/>
    </row>
    <row r="59" spans="1:13" x14ac:dyDescent="0.2">
      <c r="C59" s="23"/>
      <c r="D59" s="23"/>
      <c r="E59" s="23"/>
      <c r="F59" s="23"/>
    </row>
    <row r="60" spans="1:13" x14ac:dyDescent="0.2">
      <c r="C60" s="40" t="s">
        <v>84</v>
      </c>
      <c r="D60" s="23"/>
      <c r="E60" s="39" t="s">
        <v>85</v>
      </c>
      <c r="F60" s="23"/>
    </row>
    <row r="61" spans="1:13" x14ac:dyDescent="0.2">
      <c r="C61" s="40" t="s">
        <v>86</v>
      </c>
      <c r="D61" s="23"/>
      <c r="E61" s="39" t="s">
        <v>53</v>
      </c>
      <c r="F61" s="23"/>
    </row>
    <row r="62" spans="1:13" x14ac:dyDescent="0.2">
      <c r="C62" s="40" t="s">
        <v>87</v>
      </c>
      <c r="D62" s="23"/>
      <c r="E62" s="39" t="s">
        <v>53</v>
      </c>
      <c r="F62" s="23"/>
    </row>
    <row r="63" spans="1:13" x14ac:dyDescent="0.2">
      <c r="C63" s="40" t="s">
        <v>88</v>
      </c>
      <c r="D63" s="23"/>
      <c r="E63" s="39" t="s">
        <v>89</v>
      </c>
      <c r="F63" s="23"/>
    </row>
    <row r="64" spans="1:13" x14ac:dyDescent="0.2">
      <c r="C64" s="40" t="s">
        <v>90</v>
      </c>
      <c r="D64" s="23"/>
      <c r="E64" s="39" t="s">
        <v>53</v>
      </c>
      <c r="F64" s="23"/>
    </row>
    <row r="65" spans="3:15" x14ac:dyDescent="0.2">
      <c r="C65" s="40" t="s">
        <v>91</v>
      </c>
      <c r="D65" s="23"/>
      <c r="E65" s="39" t="s">
        <v>61</v>
      </c>
      <c r="F65" s="23"/>
    </row>
    <row r="66" spans="3:15" x14ac:dyDescent="0.2">
      <c r="D66" s="9">
        <v>2013</v>
      </c>
      <c r="E66" s="9">
        <v>2022</v>
      </c>
      <c r="F66" s="9">
        <v>2023</v>
      </c>
      <c r="G66" s="58" t="s">
        <v>166</v>
      </c>
      <c r="H66" s="47" t="s">
        <v>52</v>
      </c>
      <c r="I66" s="58" t="s">
        <v>167</v>
      </c>
      <c r="J66" s="54"/>
      <c r="K66" s="42"/>
      <c r="L66" s="42"/>
    </row>
    <row r="67" spans="3:15" x14ac:dyDescent="0.2">
      <c r="C67" s="9" t="s">
        <v>50</v>
      </c>
      <c r="D67" s="59">
        <v>2774281.051</v>
      </c>
      <c r="E67" s="59">
        <v>2698376.7</v>
      </c>
      <c r="F67" s="59">
        <v>2636975.79</v>
      </c>
      <c r="G67" s="60">
        <f t="shared" ref="G67:G108" si="0">(F67/D67-1)*100</f>
        <v>-4.9492195807093076</v>
      </c>
      <c r="H67" s="47"/>
      <c r="I67" s="17">
        <f t="shared" ref="I67:I108" si="1">F67/E67-1</f>
        <v>-2.2754758444215817E-2</v>
      </c>
      <c r="K67" s="28" t="s">
        <v>50</v>
      </c>
      <c r="N67" s="18"/>
      <c r="O67" s="18">
        <f>I67*100</f>
        <v>-2.2754758444215817</v>
      </c>
    </row>
    <row r="68" spans="3:15" x14ac:dyDescent="0.2">
      <c r="C68" s="9" t="s">
        <v>2</v>
      </c>
      <c r="D68" s="61">
        <v>80296.399999999994</v>
      </c>
      <c r="E68" s="61">
        <v>92332.5</v>
      </c>
      <c r="F68" s="61">
        <v>80700.100000000006</v>
      </c>
      <c r="G68" s="60">
        <f t="shared" si="0"/>
        <v>0.50276226580521222</v>
      </c>
      <c r="H68" s="62">
        <f t="shared" ref="H68:H108" si="2">F68/F$67</f>
        <v>3.0603276793830559E-2</v>
      </c>
      <c r="I68" s="17">
        <f t="shared" si="1"/>
        <v>-0.1259838085181274</v>
      </c>
      <c r="K68" s="28" t="s">
        <v>2</v>
      </c>
      <c r="N68" s="18"/>
      <c r="O68" s="18">
        <f t="shared" ref="O68:O108" si="3">I68*100</f>
        <v>-12.59838085181274</v>
      </c>
    </row>
    <row r="69" spans="3:15" x14ac:dyDescent="0.2">
      <c r="C69" s="9" t="s">
        <v>24</v>
      </c>
      <c r="D69" s="59">
        <v>39849</v>
      </c>
      <c r="E69" s="59">
        <v>45959.981</v>
      </c>
      <c r="F69" s="59">
        <v>36923.192000000003</v>
      </c>
      <c r="G69" s="60">
        <f t="shared" si="0"/>
        <v>-7.3422369444653519</v>
      </c>
      <c r="H69" s="62">
        <f t="shared" si="2"/>
        <v>1.4002097455737356E-2</v>
      </c>
      <c r="I69" s="17">
        <f t="shared" si="1"/>
        <v>-0.19662299251168092</v>
      </c>
      <c r="K69" s="28" t="s">
        <v>24</v>
      </c>
      <c r="N69" s="18"/>
      <c r="O69" s="18">
        <f t="shared" si="3"/>
        <v>-19.662299251168093</v>
      </c>
    </row>
    <row r="70" spans="3:15" x14ac:dyDescent="0.2">
      <c r="C70" s="9" t="s">
        <v>47</v>
      </c>
      <c r="D70" s="61">
        <v>79777</v>
      </c>
      <c r="E70" s="61">
        <v>78197.94</v>
      </c>
      <c r="F70" s="61">
        <v>71054.838000000003</v>
      </c>
      <c r="G70" s="60">
        <f t="shared" si="0"/>
        <v>-10.933178735725836</v>
      </c>
      <c r="H70" s="62">
        <f t="shared" si="2"/>
        <v>2.6945578442341332E-2</v>
      </c>
      <c r="I70" s="17">
        <f t="shared" si="1"/>
        <v>-9.1346421657654941E-2</v>
      </c>
      <c r="K70" s="28" t="s">
        <v>47</v>
      </c>
      <c r="N70" s="18"/>
      <c r="O70" s="18">
        <f t="shared" si="3"/>
        <v>-9.134642165765495</v>
      </c>
    </row>
    <row r="71" spans="3:15" x14ac:dyDescent="0.2">
      <c r="C71" s="9" t="s">
        <v>7</v>
      </c>
      <c r="D71" s="59">
        <v>33138.124000000003</v>
      </c>
      <c r="E71" s="59">
        <v>34090.000999999997</v>
      </c>
      <c r="F71" s="59">
        <v>32888.737999999998</v>
      </c>
      <c r="G71" s="60">
        <f t="shared" si="0"/>
        <v>-0.75256523272110298</v>
      </c>
      <c r="H71" s="62">
        <f t="shared" si="2"/>
        <v>1.2472142567528084E-2</v>
      </c>
      <c r="I71" s="17">
        <f t="shared" si="1"/>
        <v>-3.5237986645996311E-2</v>
      </c>
      <c r="K71" s="28" t="s">
        <v>7</v>
      </c>
      <c r="N71" s="18"/>
      <c r="O71" s="18">
        <f t="shared" si="3"/>
        <v>-3.5237986645996311</v>
      </c>
    </row>
    <row r="72" spans="3:15" x14ac:dyDescent="0.2">
      <c r="C72" s="9" t="s">
        <v>51</v>
      </c>
      <c r="D72" s="61">
        <v>600926</v>
      </c>
      <c r="E72" s="61">
        <v>550141</v>
      </c>
      <c r="F72" s="61">
        <v>488501.902</v>
      </c>
      <c r="G72" s="60">
        <f t="shared" si="0"/>
        <v>-18.708476251651618</v>
      </c>
      <c r="H72" s="62">
        <f t="shared" si="2"/>
        <v>0.18525081036106136</v>
      </c>
      <c r="I72" s="17">
        <f t="shared" si="1"/>
        <v>-0.11204236368494624</v>
      </c>
      <c r="K72" s="28" t="s">
        <v>12</v>
      </c>
      <c r="N72" s="18"/>
      <c r="O72" s="18">
        <f t="shared" si="3"/>
        <v>-11.204236368494625</v>
      </c>
    </row>
    <row r="73" spans="3:15" x14ac:dyDescent="0.2">
      <c r="C73" s="9" t="s">
        <v>19</v>
      </c>
      <c r="D73" s="59">
        <v>11823</v>
      </c>
      <c r="E73" s="59">
        <v>7523.9719999999998</v>
      </c>
      <c r="F73" s="59">
        <v>4901.1000000000004</v>
      </c>
      <c r="G73" s="60">
        <f t="shared" si="0"/>
        <v>-58.546054300938842</v>
      </c>
      <c r="H73" s="62">
        <f t="shared" si="2"/>
        <v>1.8586063696853282E-3</v>
      </c>
      <c r="I73" s="17">
        <f t="shared" si="1"/>
        <v>-0.34860204158122854</v>
      </c>
      <c r="K73" s="28" t="s">
        <v>19</v>
      </c>
      <c r="N73" s="18"/>
      <c r="O73" s="18">
        <f t="shared" si="3"/>
        <v>-34.860204158122855</v>
      </c>
    </row>
    <row r="74" spans="3:15" x14ac:dyDescent="0.2">
      <c r="C74" s="9" t="s">
        <v>3</v>
      </c>
      <c r="D74" s="61">
        <v>25116.333999999999</v>
      </c>
      <c r="E74" s="61">
        <v>33036.841</v>
      </c>
      <c r="F74" s="61">
        <v>30989.804</v>
      </c>
      <c r="G74" s="60">
        <f t="shared" si="0"/>
        <v>23.385060893042752</v>
      </c>
      <c r="H74" s="62">
        <f t="shared" si="2"/>
        <v>1.1752024465874979E-2</v>
      </c>
      <c r="I74" s="17">
        <f t="shared" si="1"/>
        <v>-6.1962249962095317E-2</v>
      </c>
      <c r="K74" s="28" t="s">
        <v>3</v>
      </c>
      <c r="N74" s="18"/>
      <c r="O74" s="18">
        <f t="shared" si="3"/>
        <v>-6.1962249962095317</v>
      </c>
    </row>
    <row r="75" spans="3:15" x14ac:dyDescent="0.2">
      <c r="C75" s="9" t="s">
        <v>16</v>
      </c>
      <c r="D75" s="59">
        <v>52560</v>
      </c>
      <c r="E75" s="59">
        <v>51596.764999999999</v>
      </c>
      <c r="F75" s="59">
        <v>49386.925999999999</v>
      </c>
      <c r="G75" s="60">
        <f t="shared" si="0"/>
        <v>-6.0370509893455164</v>
      </c>
      <c r="H75" s="62">
        <f t="shared" si="2"/>
        <v>1.8728623215763386E-2</v>
      </c>
      <c r="I75" s="17">
        <f t="shared" si="1"/>
        <v>-4.2829022323395693E-2</v>
      </c>
      <c r="K75" s="28" t="s">
        <v>16</v>
      </c>
      <c r="N75" s="18"/>
      <c r="O75" s="18">
        <f t="shared" si="3"/>
        <v>-4.2829022323395698</v>
      </c>
    </row>
    <row r="76" spans="3:15" x14ac:dyDescent="0.2">
      <c r="C76" s="9" t="s">
        <v>14</v>
      </c>
      <c r="D76" s="61">
        <v>275399</v>
      </c>
      <c r="E76" s="61">
        <v>283174</v>
      </c>
      <c r="F76" s="61">
        <v>277108.5</v>
      </c>
      <c r="G76" s="60">
        <f t="shared" si="0"/>
        <v>0.6207357325189955</v>
      </c>
      <c r="H76" s="62">
        <f t="shared" si="2"/>
        <v>0.10508572018402945</v>
      </c>
      <c r="I76" s="17">
        <f t="shared" si="1"/>
        <v>-2.1419692485892039E-2</v>
      </c>
      <c r="K76" s="28" t="s">
        <v>14</v>
      </c>
      <c r="N76" s="18"/>
      <c r="O76" s="18">
        <f t="shared" si="3"/>
        <v>-2.1419692485892039</v>
      </c>
    </row>
    <row r="77" spans="3:15" x14ac:dyDescent="0.2">
      <c r="C77" s="9" t="s">
        <v>13</v>
      </c>
      <c r="D77" s="59">
        <v>557989.12100000004</v>
      </c>
      <c r="E77" s="59">
        <v>454562.96899999998</v>
      </c>
      <c r="F77" s="59">
        <v>503116.24400000001</v>
      </c>
      <c r="G77" s="60">
        <f t="shared" si="0"/>
        <v>-9.8340406532764657</v>
      </c>
      <c r="H77" s="62">
        <f t="shared" si="2"/>
        <v>0.19079289461356791</v>
      </c>
      <c r="I77" s="17">
        <f t="shared" si="1"/>
        <v>0.10681308929940569</v>
      </c>
      <c r="K77" s="28" t="s">
        <v>13</v>
      </c>
      <c r="N77" s="18"/>
      <c r="O77" s="18">
        <f t="shared" si="3"/>
        <v>10.68130892994057</v>
      </c>
    </row>
    <row r="78" spans="3:15" x14ac:dyDescent="0.2">
      <c r="C78" s="9" t="s">
        <v>26</v>
      </c>
      <c r="D78" s="61">
        <v>13660</v>
      </c>
      <c r="E78" s="61">
        <v>13696.4</v>
      </c>
      <c r="F78" s="61">
        <v>17002.8</v>
      </c>
      <c r="G78" s="60">
        <f t="shared" si="0"/>
        <v>24.471449487554906</v>
      </c>
      <c r="H78" s="62">
        <f t="shared" si="2"/>
        <v>6.4478407668657435E-3</v>
      </c>
      <c r="I78" s="17">
        <f t="shared" si="1"/>
        <v>0.24140650097835925</v>
      </c>
      <c r="K78" s="28" t="s">
        <v>26</v>
      </c>
      <c r="N78" s="18"/>
      <c r="O78" s="18">
        <f t="shared" si="3"/>
        <v>24.140650097835923</v>
      </c>
    </row>
    <row r="79" spans="3:15" x14ac:dyDescent="0.2">
      <c r="C79" s="9" t="s">
        <v>15</v>
      </c>
      <c r="D79" s="59">
        <v>278833.39199999999</v>
      </c>
      <c r="E79" s="59">
        <v>274616.239</v>
      </c>
      <c r="F79" s="59">
        <v>256570.071</v>
      </c>
      <c r="G79" s="60">
        <f t="shared" si="0"/>
        <v>-7.9844529524641716</v>
      </c>
      <c r="H79" s="62">
        <f t="shared" si="2"/>
        <v>9.7297090088187724E-2</v>
      </c>
      <c r="I79" s="17">
        <f t="shared" si="1"/>
        <v>-6.5714132804797432E-2</v>
      </c>
      <c r="K79" s="28" t="s">
        <v>15</v>
      </c>
      <c r="N79" s="18"/>
      <c r="O79" s="18">
        <f t="shared" si="3"/>
        <v>-6.5714132804797432</v>
      </c>
    </row>
    <row r="80" spans="3:15" x14ac:dyDescent="0.2">
      <c r="C80" s="9" t="s">
        <v>27</v>
      </c>
      <c r="D80" s="61">
        <v>4119.1450000000004</v>
      </c>
      <c r="E80" s="61">
        <v>5025.4480000000003</v>
      </c>
      <c r="F80" s="61">
        <v>5087.0950000000003</v>
      </c>
      <c r="G80" s="60">
        <f t="shared" si="0"/>
        <v>23.498808611981371</v>
      </c>
      <c r="H80" s="62">
        <f t="shared" si="2"/>
        <v>1.9291398196719888E-3</v>
      </c>
      <c r="I80" s="17">
        <f t="shared" si="1"/>
        <v>1.2266966049593986E-2</v>
      </c>
      <c r="K80" s="28" t="s">
        <v>27</v>
      </c>
      <c r="N80" s="18"/>
      <c r="O80" s="18">
        <f t="shared" si="3"/>
        <v>1.2266966049593986</v>
      </c>
    </row>
    <row r="81" spans="3:15" x14ac:dyDescent="0.2">
      <c r="C81" s="9" t="s">
        <v>10</v>
      </c>
      <c r="D81" s="59">
        <v>5799.89</v>
      </c>
      <c r="E81" s="59">
        <v>4801.32</v>
      </c>
      <c r="F81" s="59">
        <v>6135.0690000000004</v>
      </c>
      <c r="G81" s="60">
        <f t="shared" si="0"/>
        <v>5.7790578786839131</v>
      </c>
      <c r="H81" s="62">
        <f t="shared" si="2"/>
        <v>2.3265549207033107E-3</v>
      </c>
      <c r="I81" s="17">
        <f t="shared" si="1"/>
        <v>0.27778798330459131</v>
      </c>
      <c r="K81" s="28" t="s">
        <v>10</v>
      </c>
      <c r="N81" s="18"/>
      <c r="O81" s="18">
        <f t="shared" si="3"/>
        <v>27.778798330459132</v>
      </c>
    </row>
    <row r="82" spans="3:15" x14ac:dyDescent="0.2">
      <c r="C82" s="9" t="s">
        <v>9</v>
      </c>
      <c r="D82" s="61">
        <v>4451</v>
      </c>
      <c r="E82" s="61">
        <v>4497</v>
      </c>
      <c r="F82" s="61">
        <v>5705.9</v>
      </c>
      <c r="G82" s="60">
        <f t="shared" si="0"/>
        <v>28.193664345090987</v>
      </c>
      <c r="H82" s="62">
        <f t="shared" si="2"/>
        <v>2.1638044693614725E-3</v>
      </c>
      <c r="I82" s="17">
        <f t="shared" si="1"/>
        <v>0.26882366021792303</v>
      </c>
      <c r="K82" s="28" t="s">
        <v>9</v>
      </c>
      <c r="N82" s="18"/>
      <c r="O82" s="18">
        <f t="shared" si="3"/>
        <v>26.882366021792304</v>
      </c>
    </row>
    <row r="83" spans="3:15" x14ac:dyDescent="0.2">
      <c r="C83" s="9" t="s">
        <v>1</v>
      </c>
      <c r="D83" s="59">
        <v>2860.3690000000001</v>
      </c>
      <c r="E83" s="59">
        <v>2239.866</v>
      </c>
      <c r="F83" s="59">
        <v>2504.5189999999998</v>
      </c>
      <c r="G83" s="60">
        <f t="shared" si="0"/>
        <v>-12.440702580681041</v>
      </c>
      <c r="H83" s="62">
        <f t="shared" si="2"/>
        <v>9.4976943265755187E-4</v>
      </c>
      <c r="I83" s="17">
        <f t="shared" si="1"/>
        <v>0.11815572895878579</v>
      </c>
      <c r="K83" s="28" t="s">
        <v>1</v>
      </c>
      <c r="N83" s="18"/>
      <c r="O83" s="18">
        <f t="shared" si="3"/>
        <v>11.815572895878578</v>
      </c>
    </row>
    <row r="84" spans="3:15" x14ac:dyDescent="0.2">
      <c r="C84" s="9" t="s">
        <v>21</v>
      </c>
      <c r="D84" s="61">
        <v>28031</v>
      </c>
      <c r="E84" s="61">
        <v>33808.36</v>
      </c>
      <c r="F84" s="61">
        <v>33758.521999999997</v>
      </c>
      <c r="G84" s="60">
        <f t="shared" si="0"/>
        <v>20.432813670578987</v>
      </c>
      <c r="H84" s="62">
        <f t="shared" si="2"/>
        <v>1.2801984048552829E-2</v>
      </c>
      <c r="I84" s="17">
        <f t="shared" si="1"/>
        <v>-1.4741324335165729E-3</v>
      </c>
      <c r="K84" s="28" t="s">
        <v>21</v>
      </c>
      <c r="N84" s="18"/>
      <c r="O84" s="18">
        <f t="shared" si="3"/>
        <v>-0.14741324335165729</v>
      </c>
    </row>
    <row r="85" spans="3:15" x14ac:dyDescent="0.2">
      <c r="C85" s="9" t="s">
        <v>28</v>
      </c>
      <c r="D85" s="59">
        <v>2137</v>
      </c>
      <c r="E85" s="59">
        <v>2241.5430000000001</v>
      </c>
      <c r="F85" s="59">
        <v>2295.9169999999999</v>
      </c>
      <c r="G85" s="60">
        <f t="shared" si="0"/>
        <v>7.4364529714552985</v>
      </c>
      <c r="H85" s="62">
        <f t="shared" si="2"/>
        <v>8.7066290434164358E-4</v>
      </c>
      <c r="I85" s="17">
        <f t="shared" si="1"/>
        <v>2.4257397694356087E-2</v>
      </c>
      <c r="K85" s="28" t="s">
        <v>28</v>
      </c>
      <c r="N85" s="18"/>
      <c r="O85" s="18">
        <f t="shared" si="3"/>
        <v>2.4257397694356087</v>
      </c>
    </row>
    <row r="86" spans="3:15" x14ac:dyDescent="0.2">
      <c r="C86" s="9" t="s">
        <v>4</v>
      </c>
      <c r="D86" s="61">
        <v>97449.789000000004</v>
      </c>
      <c r="E86" s="61">
        <v>117274.344</v>
      </c>
      <c r="F86" s="61">
        <v>117533.912</v>
      </c>
      <c r="G86" s="60">
        <f t="shared" si="0"/>
        <v>20.609714198560237</v>
      </c>
      <c r="H86" s="62">
        <f t="shared" si="2"/>
        <v>4.4571479361211731E-2</v>
      </c>
      <c r="I86" s="17">
        <f t="shared" si="1"/>
        <v>2.21334002942708E-3</v>
      </c>
      <c r="K86" s="28" t="s">
        <v>4</v>
      </c>
      <c r="N86" s="18"/>
      <c r="O86" s="18">
        <f t="shared" si="3"/>
        <v>0.221334002942708</v>
      </c>
    </row>
    <row r="87" spans="3:15" x14ac:dyDescent="0.2">
      <c r="C87" s="9" t="s">
        <v>5</v>
      </c>
      <c r="D87" s="59">
        <v>65259.696000000004</v>
      </c>
      <c r="E87" s="59">
        <v>66983.998999999996</v>
      </c>
      <c r="F87" s="59">
        <v>72700.146999999997</v>
      </c>
      <c r="G87" s="60">
        <f t="shared" si="0"/>
        <v>11.401295831963409</v>
      </c>
      <c r="H87" s="62">
        <f t="shared" si="2"/>
        <v>2.7569516290477585E-2</v>
      </c>
      <c r="I87" s="17">
        <f t="shared" si="1"/>
        <v>8.5336021816195151E-2</v>
      </c>
      <c r="K87" s="28" t="s">
        <v>5</v>
      </c>
      <c r="N87" s="18"/>
      <c r="O87" s="18">
        <f t="shared" si="3"/>
        <v>8.5336021816195142</v>
      </c>
    </row>
    <row r="88" spans="3:15" x14ac:dyDescent="0.2">
      <c r="C88" s="9" t="s">
        <v>22</v>
      </c>
      <c r="D88" s="61">
        <v>150079</v>
      </c>
      <c r="E88" s="61">
        <v>167091.95800000001</v>
      </c>
      <c r="F88" s="61">
        <v>156667.43299999999</v>
      </c>
      <c r="G88" s="60">
        <f t="shared" si="0"/>
        <v>4.3899766123175032</v>
      </c>
      <c r="H88" s="62">
        <f t="shared" si="2"/>
        <v>5.9411782843861449E-2</v>
      </c>
      <c r="I88" s="17">
        <f t="shared" si="1"/>
        <v>-6.238795166910438E-2</v>
      </c>
      <c r="K88" s="28" t="s">
        <v>22</v>
      </c>
      <c r="N88" s="18"/>
      <c r="O88" s="18">
        <f t="shared" si="3"/>
        <v>-6.238795166910438</v>
      </c>
    </row>
    <row r="89" spans="3:15" x14ac:dyDescent="0.2">
      <c r="C89" s="9" t="s">
        <v>18</v>
      </c>
      <c r="D89" s="59">
        <v>50411.790999999997</v>
      </c>
      <c r="E89" s="59">
        <v>48160.938000000002</v>
      </c>
      <c r="F89" s="59">
        <v>48464.529000000002</v>
      </c>
      <c r="G89" s="60">
        <f t="shared" si="0"/>
        <v>-3.8627114041633548</v>
      </c>
      <c r="H89" s="62">
        <f t="shared" si="2"/>
        <v>1.8378829712350147E-2</v>
      </c>
      <c r="I89" s="17">
        <f t="shared" si="1"/>
        <v>6.3036770587816537E-3</v>
      </c>
      <c r="K89" s="28" t="s">
        <v>18</v>
      </c>
      <c r="N89" s="18"/>
      <c r="O89" s="18">
        <f t="shared" si="3"/>
        <v>0.63036770587816537</v>
      </c>
    </row>
    <row r="90" spans="3:15" x14ac:dyDescent="0.2">
      <c r="C90" s="9" t="s">
        <v>23</v>
      </c>
      <c r="D90" s="61">
        <v>54134</v>
      </c>
      <c r="E90" s="61">
        <v>51004.67</v>
      </c>
      <c r="F90" s="61">
        <v>53268.116000000002</v>
      </c>
      <c r="G90" s="60">
        <f t="shared" si="0"/>
        <v>-1.599519710348396</v>
      </c>
      <c r="H90" s="62">
        <f t="shared" si="2"/>
        <v>2.020045697878781E-2</v>
      </c>
      <c r="I90" s="17">
        <f t="shared" si="1"/>
        <v>4.4377230555554981E-2</v>
      </c>
      <c r="K90" s="28" t="s">
        <v>23</v>
      </c>
      <c r="N90" s="18"/>
      <c r="O90" s="18">
        <f t="shared" si="3"/>
        <v>4.4377230555554981</v>
      </c>
    </row>
    <row r="91" spans="3:15" x14ac:dyDescent="0.2">
      <c r="C91" s="9" t="s">
        <v>17</v>
      </c>
      <c r="D91" s="59">
        <v>15117</v>
      </c>
      <c r="E91" s="59">
        <v>12868.646000000001</v>
      </c>
      <c r="F91" s="59">
        <v>15132.415999999999</v>
      </c>
      <c r="G91" s="60">
        <f t="shared" si="0"/>
        <v>0.10197790566910392</v>
      </c>
      <c r="H91" s="62">
        <f t="shared" si="2"/>
        <v>5.7385494616164065E-3</v>
      </c>
      <c r="I91" s="17">
        <f t="shared" si="1"/>
        <v>0.17591361204589817</v>
      </c>
      <c r="K91" s="28" t="s">
        <v>17</v>
      </c>
      <c r="N91" s="18"/>
      <c r="O91" s="18">
        <f t="shared" si="3"/>
        <v>17.591361204589816</v>
      </c>
    </row>
    <row r="92" spans="3:15" x14ac:dyDescent="0.2">
      <c r="C92" s="9" t="s">
        <v>20</v>
      </c>
      <c r="D92" s="61">
        <v>27172</v>
      </c>
      <c r="E92" s="61">
        <v>24294</v>
      </c>
      <c r="F92" s="61">
        <v>27169</v>
      </c>
      <c r="G92" s="60">
        <f t="shared" si="0"/>
        <v>-1.1040777270721058E-2</v>
      </c>
      <c r="H92" s="62">
        <f t="shared" si="2"/>
        <v>1.0303090420105829E-2</v>
      </c>
      <c r="I92" s="17">
        <f t="shared" si="1"/>
        <v>0.11834197744299013</v>
      </c>
      <c r="K92" s="28" t="s">
        <v>20</v>
      </c>
      <c r="N92" s="18"/>
      <c r="O92" s="18">
        <f t="shared" si="3"/>
        <v>11.834197744299013</v>
      </c>
    </row>
    <row r="93" spans="3:15" x14ac:dyDescent="0.2">
      <c r="C93" s="9" t="s">
        <v>8</v>
      </c>
      <c r="D93" s="59">
        <v>68353</v>
      </c>
      <c r="E93" s="59">
        <v>69160</v>
      </c>
      <c r="F93" s="59">
        <v>78300</v>
      </c>
      <c r="G93" s="60">
        <f t="shared" si="0"/>
        <v>14.552397114976667</v>
      </c>
      <c r="H93" s="62">
        <f t="shared" si="2"/>
        <v>2.969310537356128E-2</v>
      </c>
      <c r="I93" s="17">
        <f t="shared" si="1"/>
        <v>0.13215731636784267</v>
      </c>
      <c r="K93" s="28" t="s">
        <v>8</v>
      </c>
      <c r="N93" s="18"/>
      <c r="O93" s="18">
        <f t="shared" si="3"/>
        <v>13.215731636784266</v>
      </c>
    </row>
    <row r="94" spans="3:15" x14ac:dyDescent="0.2">
      <c r="C94" s="9" t="s">
        <v>6</v>
      </c>
      <c r="D94" s="61">
        <v>149539</v>
      </c>
      <c r="E94" s="61">
        <v>169996</v>
      </c>
      <c r="F94" s="61">
        <v>163109</v>
      </c>
      <c r="G94" s="60">
        <f t="shared" si="0"/>
        <v>9.0745558014966079</v>
      </c>
      <c r="H94" s="62">
        <f t="shared" si="2"/>
        <v>6.1854568638265731E-2</v>
      </c>
      <c r="I94" s="17">
        <f t="shared" si="1"/>
        <v>-4.0512717946304622E-2</v>
      </c>
      <c r="K94" s="28" t="s">
        <v>6</v>
      </c>
      <c r="N94" s="18"/>
      <c r="O94" s="18">
        <f t="shared" si="3"/>
        <v>-4.0512717946304626</v>
      </c>
    </row>
    <row r="95" spans="3:15" x14ac:dyDescent="0.2">
      <c r="C95" s="28" t="s">
        <v>41</v>
      </c>
      <c r="D95" s="59">
        <v>18000</v>
      </c>
      <c r="E95" s="59" t="s">
        <v>44</v>
      </c>
      <c r="F95" s="59" t="s">
        <v>44</v>
      </c>
      <c r="G95" s="60" t="e">
        <f t="shared" si="0"/>
        <v>#VALUE!</v>
      </c>
      <c r="H95" s="62" t="e">
        <f t="shared" si="2"/>
        <v>#VALUE!</v>
      </c>
      <c r="I95" s="17" t="e">
        <f t="shared" si="1"/>
        <v>#VALUE!</v>
      </c>
      <c r="K95" s="28" t="s">
        <v>41</v>
      </c>
      <c r="N95" s="18"/>
      <c r="O95" s="18" t="e">
        <f t="shared" si="3"/>
        <v>#VALUE!</v>
      </c>
    </row>
    <row r="96" spans="3:15" x14ac:dyDescent="0.2">
      <c r="C96" s="28" t="s">
        <v>62</v>
      </c>
      <c r="D96" s="61" t="s">
        <v>44</v>
      </c>
      <c r="E96" s="61">
        <v>100.5</v>
      </c>
      <c r="F96" s="61">
        <v>125.5</v>
      </c>
      <c r="G96" s="60" t="e">
        <f t="shared" si="0"/>
        <v>#VALUE!</v>
      </c>
      <c r="H96" s="62">
        <f t="shared" si="2"/>
        <v>4.7592397501685065E-5</v>
      </c>
      <c r="I96" s="17">
        <f t="shared" si="1"/>
        <v>0.24875621890547261</v>
      </c>
      <c r="K96" s="28" t="s">
        <v>62</v>
      </c>
      <c r="N96" s="18"/>
      <c r="O96" s="18">
        <f t="shared" si="3"/>
        <v>24.875621890547261</v>
      </c>
    </row>
    <row r="97" spans="3:15" x14ac:dyDescent="0.2">
      <c r="C97" s="28" t="s">
        <v>25</v>
      </c>
      <c r="D97" s="59">
        <v>133485</v>
      </c>
      <c r="E97" s="59">
        <v>146077.30600000001</v>
      </c>
      <c r="F97" s="59">
        <v>154206.48699999999</v>
      </c>
      <c r="G97" s="60">
        <f t="shared" si="0"/>
        <v>15.52345731730156</v>
      </c>
      <c r="H97" s="62">
        <f t="shared" si="2"/>
        <v>5.8478537264083107E-2</v>
      </c>
      <c r="I97" s="17">
        <f t="shared" si="1"/>
        <v>5.564985570037817E-2</v>
      </c>
      <c r="K97" s="28" t="s">
        <v>25</v>
      </c>
      <c r="N97" s="18"/>
      <c r="O97" s="18">
        <f t="shared" si="3"/>
        <v>5.564985570037817</v>
      </c>
    </row>
    <row r="98" spans="3:15" x14ac:dyDescent="0.2">
      <c r="C98" s="28" t="s">
        <v>11</v>
      </c>
      <c r="D98" s="61">
        <v>340434</v>
      </c>
      <c r="E98" s="61" t="s">
        <v>44</v>
      </c>
      <c r="F98" s="61" t="s">
        <v>44</v>
      </c>
      <c r="G98" s="60" t="e">
        <f t="shared" si="0"/>
        <v>#VALUE!</v>
      </c>
      <c r="H98" s="62" t="e">
        <f t="shared" si="2"/>
        <v>#VALUE!</v>
      </c>
      <c r="I98" s="17" t="e">
        <f t="shared" si="1"/>
        <v>#VALUE!</v>
      </c>
      <c r="K98" s="28" t="s">
        <v>11</v>
      </c>
      <c r="N98" s="18"/>
      <c r="O98" s="18" t="e">
        <f t="shared" si="3"/>
        <v>#VALUE!</v>
      </c>
    </row>
    <row r="99" spans="3:15" x14ac:dyDescent="0.2">
      <c r="C99" s="28" t="s">
        <v>40</v>
      </c>
      <c r="D99" s="61">
        <v>3809</v>
      </c>
      <c r="E99" s="61">
        <v>3216.1</v>
      </c>
      <c r="F99" s="61">
        <v>4059.4</v>
      </c>
      <c r="G99" s="60">
        <f t="shared" si="0"/>
        <v>6.5739039117878706</v>
      </c>
      <c r="H99" s="62">
        <f t="shared" si="2"/>
        <v>1.5394149674768155E-3</v>
      </c>
      <c r="I99" s="17">
        <f t="shared" si="1"/>
        <v>0.26221199589565014</v>
      </c>
      <c r="K99" s="28" t="s">
        <v>40</v>
      </c>
      <c r="N99" s="18"/>
      <c r="O99" s="18">
        <f t="shared" si="3"/>
        <v>26.221199589565014</v>
      </c>
    </row>
    <row r="100" spans="3:15" x14ac:dyDescent="0.2">
      <c r="C100" s="28" t="s">
        <v>64</v>
      </c>
      <c r="D100" s="59">
        <v>781</v>
      </c>
      <c r="E100" s="59">
        <v>889</v>
      </c>
      <c r="F100" s="59">
        <v>1062.8</v>
      </c>
      <c r="G100" s="60">
        <f t="shared" si="0"/>
        <v>36.081946222791281</v>
      </c>
      <c r="H100" s="62">
        <f t="shared" si="2"/>
        <v>4.0303745071546519E-4</v>
      </c>
      <c r="I100" s="17">
        <f t="shared" si="1"/>
        <v>0.19550056242969616</v>
      </c>
      <c r="K100" s="28" t="s">
        <v>64</v>
      </c>
      <c r="N100" s="18"/>
      <c r="O100" s="18">
        <f t="shared" si="3"/>
        <v>19.550056242969617</v>
      </c>
    </row>
    <row r="101" spans="3:15" x14ac:dyDescent="0.2">
      <c r="C101" s="28" t="s">
        <v>48</v>
      </c>
      <c r="D101" s="61">
        <v>5672</v>
      </c>
      <c r="E101" s="61">
        <v>5559.5209999999997</v>
      </c>
      <c r="F101" s="61">
        <v>6481.0739999999996</v>
      </c>
      <c r="G101" s="60">
        <f t="shared" si="0"/>
        <v>14.264351198871639</v>
      </c>
      <c r="H101" s="62">
        <f t="shared" si="2"/>
        <v>2.4577677294488924E-3</v>
      </c>
      <c r="I101" s="17">
        <f t="shared" si="1"/>
        <v>0.16576122295427975</v>
      </c>
      <c r="K101" s="28" t="s">
        <v>48</v>
      </c>
      <c r="N101" s="18"/>
      <c r="O101" s="18">
        <f t="shared" si="3"/>
        <v>16.576122295427975</v>
      </c>
    </row>
    <row r="102" spans="3:15" x14ac:dyDescent="0.2">
      <c r="C102" s="28" t="s">
        <v>39</v>
      </c>
      <c r="D102" s="61">
        <v>6950</v>
      </c>
      <c r="E102" s="61">
        <v>6974.241</v>
      </c>
      <c r="F102" s="61">
        <v>8879.7369999999992</v>
      </c>
      <c r="G102" s="60">
        <f t="shared" si="0"/>
        <v>27.76599999999998</v>
      </c>
      <c r="H102" s="62">
        <f t="shared" si="2"/>
        <v>3.3673942072862183E-3</v>
      </c>
      <c r="I102" s="17">
        <f t="shared" si="1"/>
        <v>0.27321912162197992</v>
      </c>
      <c r="K102" s="28" t="s">
        <v>39</v>
      </c>
      <c r="N102" s="18"/>
      <c r="O102" s="18">
        <f t="shared" si="3"/>
        <v>27.321912162197993</v>
      </c>
    </row>
    <row r="103" spans="3:15" x14ac:dyDescent="0.2">
      <c r="C103" s="28" t="s">
        <v>38</v>
      </c>
      <c r="D103" s="59">
        <v>37170</v>
      </c>
      <c r="E103" s="59">
        <v>32828.355000000003</v>
      </c>
      <c r="F103" s="59">
        <v>37376.239999999998</v>
      </c>
      <c r="G103" s="60">
        <f t="shared" si="0"/>
        <v>0.55485606672047716</v>
      </c>
      <c r="H103" s="62">
        <f t="shared" si="2"/>
        <v>1.41739033561624E-2</v>
      </c>
      <c r="I103" s="17">
        <f t="shared" si="1"/>
        <v>0.13853526928169235</v>
      </c>
      <c r="K103" s="28" t="s">
        <v>38</v>
      </c>
      <c r="N103" s="18"/>
      <c r="O103" s="18">
        <f t="shared" si="3"/>
        <v>13.853526928169234</v>
      </c>
    </row>
    <row r="104" spans="3:15" x14ac:dyDescent="0.2">
      <c r="C104" s="28" t="s">
        <v>72</v>
      </c>
      <c r="D104" s="61">
        <v>228977</v>
      </c>
      <c r="E104" s="61">
        <v>312917.57500000001</v>
      </c>
      <c r="F104" s="61">
        <v>314946.98499999999</v>
      </c>
      <c r="G104" s="60">
        <f t="shared" si="0"/>
        <v>37.545249086152751</v>
      </c>
      <c r="H104" s="62">
        <f t="shared" si="2"/>
        <v>0.11943491714802584</v>
      </c>
      <c r="I104" s="17">
        <f t="shared" si="1"/>
        <v>6.4854458877867671E-3</v>
      </c>
      <c r="K104" s="28" t="s">
        <v>72</v>
      </c>
      <c r="N104" s="18"/>
      <c r="O104" s="18">
        <f t="shared" si="3"/>
        <v>0.64854458877867671</v>
      </c>
    </row>
    <row r="105" spans="3:15" x14ac:dyDescent="0.2">
      <c r="C105" s="28" t="s">
        <v>46</v>
      </c>
      <c r="D105" s="59">
        <v>179084</v>
      </c>
      <c r="E105" s="59" t="s">
        <v>44</v>
      </c>
      <c r="F105" s="59" t="s">
        <v>44</v>
      </c>
      <c r="G105" s="60" t="e">
        <f t="shared" si="0"/>
        <v>#VALUE!</v>
      </c>
      <c r="H105" s="62" t="e">
        <f t="shared" si="2"/>
        <v>#VALUE!</v>
      </c>
      <c r="I105" s="17" t="e">
        <f t="shared" si="1"/>
        <v>#VALUE!</v>
      </c>
      <c r="K105" s="28" t="s">
        <v>46</v>
      </c>
      <c r="N105" s="18"/>
      <c r="O105" s="18" t="e">
        <f t="shared" si="3"/>
        <v>#VALUE!</v>
      </c>
    </row>
    <row r="106" spans="3:15" x14ac:dyDescent="0.2">
      <c r="C106" s="28" t="s">
        <v>63</v>
      </c>
      <c r="D106" s="59" t="s">
        <v>44</v>
      </c>
      <c r="E106" s="59">
        <v>15218</v>
      </c>
      <c r="F106" s="59">
        <v>16100</v>
      </c>
      <c r="G106" s="60" t="e">
        <f t="shared" si="0"/>
        <v>#VALUE!</v>
      </c>
      <c r="H106" s="62">
        <f t="shared" si="2"/>
        <v>6.1054788826862914E-3</v>
      </c>
      <c r="I106" s="17">
        <f t="shared" si="1"/>
        <v>5.7957681692732299E-2</v>
      </c>
      <c r="K106" s="28" t="s">
        <v>63</v>
      </c>
      <c r="N106" s="18"/>
      <c r="O106" s="18">
        <f t="shared" si="3"/>
        <v>5.7957681692732299</v>
      </c>
    </row>
    <row r="107" spans="3:15" x14ac:dyDescent="0.2">
      <c r="C107" s="28" t="s">
        <v>70</v>
      </c>
      <c r="D107" s="61">
        <v>5861</v>
      </c>
      <c r="E107" s="61" t="s">
        <v>44</v>
      </c>
      <c r="F107" s="61">
        <v>5697.817</v>
      </c>
      <c r="G107" s="60">
        <f t="shared" si="0"/>
        <v>-2.7842177102883503</v>
      </c>
      <c r="H107" s="62">
        <f t="shared" si="2"/>
        <v>2.1607392155845312E-3</v>
      </c>
      <c r="I107" s="17" t="e">
        <f t="shared" si="1"/>
        <v>#VALUE!</v>
      </c>
      <c r="K107" s="28" t="s">
        <v>70</v>
      </c>
      <c r="N107" s="18"/>
      <c r="O107" s="18" t="e">
        <f t="shared" si="3"/>
        <v>#VALUE!</v>
      </c>
    </row>
    <row r="108" spans="3:15" x14ac:dyDescent="0.2">
      <c r="C108" s="28" t="s">
        <v>65</v>
      </c>
      <c r="D108" s="59">
        <v>9860</v>
      </c>
      <c r="E108" s="59">
        <v>13988.2</v>
      </c>
      <c r="F108" s="59">
        <v>14127.370999999999</v>
      </c>
      <c r="G108" s="60">
        <f t="shared" si="0"/>
        <v>43.27962474645031</v>
      </c>
      <c r="H108" s="62">
        <f t="shared" si="2"/>
        <v>5.3574139943089877E-3</v>
      </c>
      <c r="I108" s="17">
        <f t="shared" si="1"/>
        <v>9.9491714445030244E-3</v>
      </c>
      <c r="K108" s="28" t="s">
        <v>65</v>
      </c>
      <c r="N108" s="18"/>
      <c r="O108" s="18">
        <f t="shared" si="3"/>
        <v>0.99491714445030244</v>
      </c>
    </row>
    <row r="109" spans="3:15" x14ac:dyDescent="0.2">
      <c r="C109" s="24"/>
      <c r="D109" s="24"/>
      <c r="E109" s="23"/>
      <c r="F109" s="23"/>
      <c r="N109" s="18"/>
      <c r="O109" s="18"/>
    </row>
    <row r="110" spans="3:15" x14ac:dyDescent="0.2">
      <c r="N110" s="18"/>
      <c r="O110" s="18"/>
    </row>
    <row r="111" spans="3:15" x14ac:dyDescent="0.2">
      <c r="N111" s="18"/>
      <c r="O111" s="18"/>
    </row>
    <row r="112" spans="3:15" x14ac:dyDescent="0.2">
      <c r="N112" s="18"/>
      <c r="O112" s="18"/>
    </row>
    <row r="113" spans="3:15" x14ac:dyDescent="0.2">
      <c r="N113" s="18"/>
      <c r="O113" s="18"/>
    </row>
    <row r="114" spans="3:15" x14ac:dyDescent="0.2">
      <c r="C114" s="39" t="s">
        <v>168</v>
      </c>
      <c r="D114" s="23"/>
      <c r="E114" s="23"/>
      <c r="F114" s="23"/>
      <c r="N114" s="18"/>
      <c r="O114" s="18"/>
    </row>
    <row r="115" spans="3:15" x14ac:dyDescent="0.2">
      <c r="C115" s="39" t="s">
        <v>81</v>
      </c>
      <c r="D115" s="40" t="s">
        <v>140</v>
      </c>
      <c r="E115" s="23"/>
      <c r="F115" s="23"/>
      <c r="N115" s="18"/>
      <c r="O115" s="18"/>
    </row>
    <row r="116" spans="3:15" x14ac:dyDescent="0.2">
      <c r="C116" s="39" t="s">
        <v>83</v>
      </c>
      <c r="D116" s="107">
        <v>45897.958333333336</v>
      </c>
      <c r="E116" s="23"/>
      <c r="F116" s="23"/>
      <c r="N116" s="18"/>
      <c r="O116" s="18"/>
    </row>
    <row r="117" spans="3:15" x14ac:dyDescent="0.2">
      <c r="C117" s="23"/>
      <c r="D117" s="23"/>
      <c r="E117" s="23"/>
      <c r="F117" s="23"/>
      <c r="N117" s="18"/>
      <c r="O117" s="18"/>
    </row>
    <row r="118" spans="3:15" x14ac:dyDescent="0.2">
      <c r="C118" s="40" t="s">
        <v>84</v>
      </c>
      <c r="D118" s="23"/>
      <c r="E118" s="39" t="s">
        <v>85</v>
      </c>
      <c r="F118" s="23"/>
      <c r="N118" s="18"/>
      <c r="O118" s="18"/>
    </row>
    <row r="119" spans="3:15" x14ac:dyDescent="0.2">
      <c r="C119" s="40" t="s">
        <v>86</v>
      </c>
      <c r="D119" s="23"/>
      <c r="E119" s="39" t="s">
        <v>53</v>
      </c>
      <c r="F119" s="23"/>
      <c r="N119" s="18"/>
      <c r="O119" s="18"/>
    </row>
    <row r="120" spans="3:15" x14ac:dyDescent="0.2">
      <c r="C120" s="40" t="s">
        <v>87</v>
      </c>
      <c r="D120" s="23"/>
      <c r="E120" s="39" t="s">
        <v>53</v>
      </c>
      <c r="F120" s="23"/>
      <c r="N120" s="18"/>
      <c r="O120" s="18"/>
    </row>
    <row r="121" spans="3:15" x14ac:dyDescent="0.2">
      <c r="C121" s="40" t="s">
        <v>88</v>
      </c>
      <c r="D121" s="23"/>
      <c r="E121" s="39" t="s">
        <v>89</v>
      </c>
      <c r="F121" s="23"/>
      <c r="N121" s="18"/>
      <c r="O121" s="18"/>
    </row>
    <row r="122" spans="3:15" x14ac:dyDescent="0.2">
      <c r="C122" s="40" t="s">
        <v>90</v>
      </c>
      <c r="D122" s="23"/>
      <c r="E122" s="39" t="s">
        <v>53</v>
      </c>
      <c r="F122" s="23"/>
      <c r="N122" s="18"/>
      <c r="O122" s="18"/>
    </row>
    <row r="123" spans="3:15" x14ac:dyDescent="0.2">
      <c r="C123" s="40" t="s">
        <v>91</v>
      </c>
      <c r="D123" s="23"/>
      <c r="E123" s="39" t="s">
        <v>61</v>
      </c>
      <c r="F123" s="23"/>
      <c r="N123" s="18"/>
      <c r="O123" s="18"/>
    </row>
    <row r="124" spans="3:15" x14ac:dyDescent="0.2">
      <c r="C124" s="23"/>
      <c r="D124" s="23"/>
      <c r="E124" s="23"/>
      <c r="F124" s="23"/>
      <c r="N124" s="18"/>
      <c r="O124" s="18"/>
    </row>
    <row r="125" spans="3:15" s="45" customFormat="1" x14ac:dyDescent="0.2">
      <c r="C125" s="45" t="s">
        <v>74</v>
      </c>
      <c r="D125" s="45">
        <v>2013</v>
      </c>
      <c r="E125" s="45">
        <v>2022</v>
      </c>
      <c r="F125" s="45">
        <v>2023</v>
      </c>
      <c r="G125" s="58" t="s">
        <v>166</v>
      </c>
      <c r="H125" s="47" t="s">
        <v>52</v>
      </c>
      <c r="I125" s="58" t="s">
        <v>167</v>
      </c>
      <c r="N125" s="25"/>
      <c r="O125" s="25"/>
    </row>
    <row r="126" spans="3:15" x14ac:dyDescent="0.2">
      <c r="C126" s="28" t="s">
        <v>50</v>
      </c>
      <c r="D126" s="63">
        <v>2774281.051</v>
      </c>
      <c r="E126" s="63">
        <v>2698376.7</v>
      </c>
      <c r="F126" s="63">
        <v>2636975.79</v>
      </c>
      <c r="G126" s="60">
        <f t="shared" ref="G126:G153" si="4">(F126/D126-1)*100</f>
        <v>-4.9492195807093076</v>
      </c>
      <c r="H126" s="47"/>
      <c r="I126" s="17">
        <f t="shared" ref="I126:I153" si="5">F126/E126-1</f>
        <v>-2.2754758444215817E-2</v>
      </c>
      <c r="K126" s="28" t="s">
        <v>50</v>
      </c>
      <c r="N126" s="18"/>
      <c r="O126" s="18">
        <f>I126*100</f>
        <v>-2.2754758444215817</v>
      </c>
    </row>
    <row r="127" spans="3:15" x14ac:dyDescent="0.2">
      <c r="C127" s="28" t="s">
        <v>2</v>
      </c>
      <c r="D127" s="63">
        <v>80296.399999999994</v>
      </c>
      <c r="E127" s="63">
        <v>92332.5</v>
      </c>
      <c r="F127" s="63">
        <v>80700.100000000006</v>
      </c>
      <c r="G127" s="60">
        <f t="shared" si="4"/>
        <v>0.50276226580521222</v>
      </c>
      <c r="H127" s="62">
        <f t="shared" ref="H127:H153" si="6">F127/F$67</f>
        <v>3.0603276793830559E-2</v>
      </c>
      <c r="I127" s="17">
        <f t="shared" si="5"/>
        <v>-0.1259838085181274</v>
      </c>
      <c r="K127" s="28" t="s">
        <v>2</v>
      </c>
      <c r="N127" s="18"/>
      <c r="O127" s="18">
        <f t="shared" ref="O127:O167" si="7">I127*100</f>
        <v>-12.59838085181274</v>
      </c>
    </row>
    <row r="128" spans="3:15" x14ac:dyDescent="0.2">
      <c r="C128" s="28" t="s">
        <v>24</v>
      </c>
      <c r="D128" s="63">
        <v>39849</v>
      </c>
      <c r="E128" s="63">
        <v>45959.981</v>
      </c>
      <c r="F128" s="63">
        <v>36923.192000000003</v>
      </c>
      <c r="G128" s="60">
        <f t="shared" si="4"/>
        <v>-7.3422369444653519</v>
      </c>
      <c r="H128" s="62">
        <f t="shared" si="6"/>
        <v>1.4002097455737356E-2</v>
      </c>
      <c r="I128" s="17">
        <f t="shared" si="5"/>
        <v>-0.19662299251168092</v>
      </c>
      <c r="K128" s="28" t="s">
        <v>24</v>
      </c>
      <c r="N128" s="18"/>
      <c r="O128" s="18">
        <f t="shared" si="7"/>
        <v>-19.662299251168093</v>
      </c>
    </row>
    <row r="129" spans="3:15" x14ac:dyDescent="0.2">
      <c r="C129" s="28" t="s">
        <v>47</v>
      </c>
      <c r="D129" s="63">
        <v>79777</v>
      </c>
      <c r="E129" s="63">
        <v>78197.94</v>
      </c>
      <c r="F129" s="63">
        <v>71054.838000000003</v>
      </c>
      <c r="G129" s="60">
        <f t="shared" si="4"/>
        <v>-10.933178735725836</v>
      </c>
      <c r="H129" s="62">
        <f t="shared" si="6"/>
        <v>2.6945578442341332E-2</v>
      </c>
      <c r="I129" s="17">
        <f t="shared" si="5"/>
        <v>-9.1346421657654941E-2</v>
      </c>
      <c r="K129" s="28" t="s">
        <v>47</v>
      </c>
      <c r="N129" s="18"/>
      <c r="O129" s="18">
        <f t="shared" si="7"/>
        <v>-9.134642165765495</v>
      </c>
    </row>
    <row r="130" spans="3:15" x14ac:dyDescent="0.2">
      <c r="C130" s="28" t="s">
        <v>7</v>
      </c>
      <c r="D130" s="63">
        <v>33138.124000000003</v>
      </c>
      <c r="E130" s="63">
        <v>34090.000999999997</v>
      </c>
      <c r="F130" s="63">
        <v>32888.737999999998</v>
      </c>
      <c r="G130" s="60">
        <f t="shared" si="4"/>
        <v>-0.75256523272110298</v>
      </c>
      <c r="H130" s="62">
        <f t="shared" si="6"/>
        <v>1.2472142567528084E-2</v>
      </c>
      <c r="I130" s="17">
        <f t="shared" si="5"/>
        <v>-3.5237986645996311E-2</v>
      </c>
      <c r="K130" s="28" t="s">
        <v>7</v>
      </c>
      <c r="N130" s="18"/>
      <c r="O130" s="18">
        <f t="shared" si="7"/>
        <v>-3.5237986645996311</v>
      </c>
    </row>
    <row r="131" spans="3:15" x14ac:dyDescent="0.2">
      <c r="C131" s="28" t="s">
        <v>12</v>
      </c>
      <c r="D131" s="63">
        <v>600926</v>
      </c>
      <c r="E131" s="63">
        <v>550141</v>
      </c>
      <c r="F131" s="63">
        <v>488501.902</v>
      </c>
      <c r="G131" s="60">
        <f t="shared" si="4"/>
        <v>-18.708476251651618</v>
      </c>
      <c r="H131" s="62">
        <f t="shared" si="6"/>
        <v>0.18525081036106136</v>
      </c>
      <c r="I131" s="17">
        <f t="shared" si="5"/>
        <v>-0.11204236368494624</v>
      </c>
      <c r="K131" s="28" t="s">
        <v>12</v>
      </c>
      <c r="N131" s="18"/>
      <c r="O131" s="18">
        <f t="shared" si="7"/>
        <v>-11.204236368494625</v>
      </c>
    </row>
    <row r="132" spans="3:15" x14ac:dyDescent="0.2">
      <c r="C132" s="28" t="s">
        <v>19</v>
      </c>
      <c r="D132" s="63">
        <v>11823</v>
      </c>
      <c r="E132" s="63">
        <v>7523.9719999999998</v>
      </c>
      <c r="F132" s="63">
        <v>4901.1000000000004</v>
      </c>
      <c r="G132" s="60">
        <f t="shared" si="4"/>
        <v>-58.546054300938842</v>
      </c>
      <c r="H132" s="62">
        <f t="shared" si="6"/>
        <v>1.8586063696853282E-3</v>
      </c>
      <c r="I132" s="17">
        <f t="shared" si="5"/>
        <v>-0.34860204158122854</v>
      </c>
      <c r="K132" s="28" t="s">
        <v>19</v>
      </c>
      <c r="N132" s="18"/>
      <c r="O132" s="18">
        <f t="shared" si="7"/>
        <v>-34.860204158122855</v>
      </c>
    </row>
    <row r="133" spans="3:15" x14ac:dyDescent="0.2">
      <c r="C133" s="28" t="s">
        <v>3</v>
      </c>
      <c r="D133" s="63">
        <v>25116.333999999999</v>
      </c>
      <c r="E133" s="63">
        <v>33036.841</v>
      </c>
      <c r="F133" s="63">
        <v>30989.804</v>
      </c>
      <c r="G133" s="60">
        <f t="shared" si="4"/>
        <v>23.385060893042752</v>
      </c>
      <c r="H133" s="62">
        <f t="shared" si="6"/>
        <v>1.1752024465874979E-2</v>
      </c>
      <c r="I133" s="17">
        <f t="shared" si="5"/>
        <v>-6.1962249962095317E-2</v>
      </c>
      <c r="K133" s="28" t="s">
        <v>3</v>
      </c>
      <c r="N133" s="18"/>
      <c r="O133" s="18">
        <f t="shared" si="7"/>
        <v>-6.1962249962095317</v>
      </c>
    </row>
    <row r="134" spans="3:15" x14ac:dyDescent="0.2">
      <c r="C134" s="28" t="s">
        <v>16</v>
      </c>
      <c r="D134" s="63">
        <v>52560</v>
      </c>
      <c r="E134" s="63">
        <v>51596.764999999999</v>
      </c>
      <c r="F134" s="63">
        <v>49386.925999999999</v>
      </c>
      <c r="G134" s="60">
        <f t="shared" si="4"/>
        <v>-6.0370509893455164</v>
      </c>
      <c r="H134" s="62">
        <f t="shared" si="6"/>
        <v>1.8728623215763386E-2</v>
      </c>
      <c r="I134" s="17">
        <f t="shared" si="5"/>
        <v>-4.2829022323395693E-2</v>
      </c>
      <c r="K134" s="28" t="s">
        <v>16</v>
      </c>
      <c r="N134" s="18"/>
      <c r="O134" s="18">
        <f t="shared" si="7"/>
        <v>-4.2829022323395698</v>
      </c>
    </row>
    <row r="135" spans="3:15" x14ac:dyDescent="0.2">
      <c r="C135" s="28" t="s">
        <v>14</v>
      </c>
      <c r="D135" s="63">
        <v>275399</v>
      </c>
      <c r="E135" s="63">
        <v>283174</v>
      </c>
      <c r="F135" s="63">
        <v>277108.5</v>
      </c>
      <c r="G135" s="60">
        <f t="shared" si="4"/>
        <v>0.6207357325189955</v>
      </c>
      <c r="H135" s="62">
        <f t="shared" si="6"/>
        <v>0.10508572018402945</v>
      </c>
      <c r="I135" s="17">
        <f t="shared" si="5"/>
        <v>-2.1419692485892039E-2</v>
      </c>
      <c r="K135" s="28" t="s">
        <v>14</v>
      </c>
      <c r="N135" s="18"/>
      <c r="O135" s="18">
        <f t="shared" si="7"/>
        <v>-2.1419692485892039</v>
      </c>
    </row>
    <row r="136" spans="3:15" x14ac:dyDescent="0.2">
      <c r="C136" s="28" t="s">
        <v>13</v>
      </c>
      <c r="D136" s="63">
        <v>557989.12100000004</v>
      </c>
      <c r="E136" s="63">
        <v>454562.96899999998</v>
      </c>
      <c r="F136" s="63">
        <v>503116.24400000001</v>
      </c>
      <c r="G136" s="60">
        <f t="shared" si="4"/>
        <v>-9.8340406532764657</v>
      </c>
      <c r="H136" s="62">
        <f t="shared" si="6"/>
        <v>0.19079289461356791</v>
      </c>
      <c r="I136" s="17">
        <f t="shared" si="5"/>
        <v>0.10681308929940569</v>
      </c>
      <c r="K136" s="28" t="s">
        <v>13</v>
      </c>
      <c r="N136" s="18"/>
      <c r="O136" s="18">
        <f t="shared" si="7"/>
        <v>10.68130892994057</v>
      </c>
    </row>
    <row r="137" spans="3:15" x14ac:dyDescent="0.2">
      <c r="C137" s="28" t="s">
        <v>26</v>
      </c>
      <c r="D137" s="63">
        <v>13660</v>
      </c>
      <c r="E137" s="63">
        <v>13696.4</v>
      </c>
      <c r="F137" s="63">
        <v>17002.8</v>
      </c>
      <c r="G137" s="60">
        <f t="shared" si="4"/>
        <v>24.471449487554906</v>
      </c>
      <c r="H137" s="62">
        <f t="shared" si="6"/>
        <v>6.4478407668657435E-3</v>
      </c>
      <c r="I137" s="17">
        <f t="shared" si="5"/>
        <v>0.24140650097835925</v>
      </c>
      <c r="K137" s="28" t="s">
        <v>26</v>
      </c>
      <c r="N137" s="18"/>
      <c r="O137" s="18">
        <f t="shared" si="7"/>
        <v>24.140650097835923</v>
      </c>
    </row>
    <row r="138" spans="3:15" x14ac:dyDescent="0.2">
      <c r="C138" s="28" t="s">
        <v>15</v>
      </c>
      <c r="D138" s="63">
        <v>278833.39199999999</v>
      </c>
      <c r="E138" s="63">
        <v>274616.239</v>
      </c>
      <c r="F138" s="63">
        <v>256570.071</v>
      </c>
      <c r="G138" s="60">
        <f t="shared" si="4"/>
        <v>-7.9844529524641716</v>
      </c>
      <c r="H138" s="62">
        <f t="shared" si="6"/>
        <v>9.7297090088187724E-2</v>
      </c>
      <c r="I138" s="17">
        <f t="shared" si="5"/>
        <v>-6.5714132804797432E-2</v>
      </c>
      <c r="K138" s="28" t="s">
        <v>15</v>
      </c>
      <c r="N138" s="18"/>
      <c r="O138" s="18">
        <f t="shared" si="7"/>
        <v>-6.5714132804797432</v>
      </c>
    </row>
    <row r="139" spans="3:15" x14ac:dyDescent="0.2">
      <c r="C139" s="28" t="s">
        <v>27</v>
      </c>
      <c r="D139" s="63">
        <v>4119.1450000000004</v>
      </c>
      <c r="E139" s="63">
        <v>5025.4480000000003</v>
      </c>
      <c r="F139" s="63">
        <v>5087.0950000000003</v>
      </c>
      <c r="G139" s="60">
        <f t="shared" si="4"/>
        <v>23.498808611981371</v>
      </c>
      <c r="H139" s="62">
        <f t="shared" si="6"/>
        <v>1.9291398196719888E-3</v>
      </c>
      <c r="I139" s="17">
        <f t="shared" si="5"/>
        <v>1.2266966049593986E-2</v>
      </c>
      <c r="K139" s="28" t="s">
        <v>27</v>
      </c>
      <c r="N139" s="18"/>
      <c r="O139" s="18">
        <f t="shared" si="7"/>
        <v>1.2266966049593986</v>
      </c>
    </row>
    <row r="140" spans="3:15" x14ac:dyDescent="0.2">
      <c r="C140" s="28" t="s">
        <v>10</v>
      </c>
      <c r="D140" s="63">
        <v>5799.89</v>
      </c>
      <c r="E140" s="63">
        <v>4801.32</v>
      </c>
      <c r="F140" s="63">
        <v>6135.0690000000004</v>
      </c>
      <c r="G140" s="60">
        <f t="shared" si="4"/>
        <v>5.7790578786839131</v>
      </c>
      <c r="H140" s="62">
        <f t="shared" si="6"/>
        <v>2.3265549207033107E-3</v>
      </c>
      <c r="I140" s="17">
        <f t="shared" si="5"/>
        <v>0.27778798330459131</v>
      </c>
      <c r="K140" s="28" t="s">
        <v>10</v>
      </c>
      <c r="N140" s="18"/>
      <c r="O140" s="18">
        <f t="shared" si="7"/>
        <v>27.778798330459132</v>
      </c>
    </row>
    <row r="141" spans="3:15" x14ac:dyDescent="0.2">
      <c r="C141" s="28" t="s">
        <v>9</v>
      </c>
      <c r="D141" s="63">
        <v>4451</v>
      </c>
      <c r="E141" s="63">
        <v>4497</v>
      </c>
      <c r="F141" s="63">
        <v>5705.9</v>
      </c>
      <c r="G141" s="60">
        <f t="shared" si="4"/>
        <v>28.193664345090987</v>
      </c>
      <c r="H141" s="62">
        <f t="shared" si="6"/>
        <v>2.1638044693614725E-3</v>
      </c>
      <c r="I141" s="17">
        <f t="shared" si="5"/>
        <v>0.26882366021792303</v>
      </c>
      <c r="K141" s="28" t="s">
        <v>9</v>
      </c>
      <c r="N141" s="18"/>
      <c r="O141" s="18">
        <f t="shared" si="7"/>
        <v>26.882366021792304</v>
      </c>
    </row>
    <row r="142" spans="3:15" x14ac:dyDescent="0.2">
      <c r="C142" s="28" t="s">
        <v>1</v>
      </c>
      <c r="D142" s="63">
        <v>2860.3690000000001</v>
      </c>
      <c r="E142" s="63">
        <v>2239.866</v>
      </c>
      <c r="F142" s="63">
        <v>2504.5189999999998</v>
      </c>
      <c r="G142" s="60">
        <f t="shared" si="4"/>
        <v>-12.440702580681041</v>
      </c>
      <c r="H142" s="62">
        <f t="shared" si="6"/>
        <v>9.4976943265755187E-4</v>
      </c>
      <c r="I142" s="17">
        <f t="shared" si="5"/>
        <v>0.11815572895878579</v>
      </c>
      <c r="K142" s="28" t="s">
        <v>1</v>
      </c>
      <c r="N142" s="18"/>
      <c r="O142" s="18">
        <f t="shared" si="7"/>
        <v>11.815572895878578</v>
      </c>
    </row>
    <row r="143" spans="3:15" x14ac:dyDescent="0.2">
      <c r="C143" s="28" t="s">
        <v>21</v>
      </c>
      <c r="D143" s="63">
        <v>28031</v>
      </c>
      <c r="E143" s="63">
        <v>33808.36</v>
      </c>
      <c r="F143" s="63">
        <v>33758.521999999997</v>
      </c>
      <c r="G143" s="60">
        <f t="shared" si="4"/>
        <v>20.432813670578987</v>
      </c>
      <c r="H143" s="62">
        <f t="shared" si="6"/>
        <v>1.2801984048552829E-2</v>
      </c>
      <c r="I143" s="17">
        <f t="shared" si="5"/>
        <v>-1.4741324335165729E-3</v>
      </c>
      <c r="K143" s="28" t="s">
        <v>21</v>
      </c>
      <c r="N143" s="18"/>
      <c r="O143" s="18">
        <f t="shared" si="7"/>
        <v>-0.14741324335165729</v>
      </c>
    </row>
    <row r="144" spans="3:15" x14ac:dyDescent="0.2">
      <c r="C144" s="28" t="s">
        <v>28</v>
      </c>
      <c r="D144" s="63">
        <v>2137</v>
      </c>
      <c r="E144" s="63">
        <v>2241.5430000000001</v>
      </c>
      <c r="F144" s="63">
        <v>2295.9169999999999</v>
      </c>
      <c r="G144" s="60">
        <f t="shared" si="4"/>
        <v>7.4364529714552985</v>
      </c>
      <c r="H144" s="62">
        <f t="shared" si="6"/>
        <v>8.7066290434164358E-4</v>
      </c>
      <c r="I144" s="17">
        <f t="shared" si="5"/>
        <v>2.4257397694356087E-2</v>
      </c>
      <c r="K144" s="28" t="s">
        <v>28</v>
      </c>
      <c r="N144" s="18"/>
      <c r="O144" s="18">
        <f t="shared" si="7"/>
        <v>2.4257397694356087</v>
      </c>
    </row>
    <row r="145" spans="3:15" x14ac:dyDescent="0.2">
      <c r="C145" s="28" t="s">
        <v>4</v>
      </c>
      <c r="D145" s="63">
        <v>97449.789000000004</v>
      </c>
      <c r="E145" s="63">
        <v>117274.344</v>
      </c>
      <c r="F145" s="63">
        <v>117533.912</v>
      </c>
      <c r="G145" s="60">
        <f t="shared" si="4"/>
        <v>20.609714198560237</v>
      </c>
      <c r="H145" s="62">
        <f t="shared" si="6"/>
        <v>4.4571479361211731E-2</v>
      </c>
      <c r="I145" s="17">
        <f t="shared" si="5"/>
        <v>2.21334002942708E-3</v>
      </c>
      <c r="K145" s="28" t="s">
        <v>4</v>
      </c>
      <c r="N145" s="18"/>
      <c r="O145" s="18">
        <f t="shared" si="7"/>
        <v>0.221334002942708</v>
      </c>
    </row>
    <row r="146" spans="3:15" x14ac:dyDescent="0.2">
      <c r="C146" s="28" t="s">
        <v>5</v>
      </c>
      <c r="D146" s="63">
        <v>65259.696000000004</v>
      </c>
      <c r="E146" s="63">
        <v>66983.998999999996</v>
      </c>
      <c r="F146" s="63">
        <v>72700.146999999997</v>
      </c>
      <c r="G146" s="60">
        <f t="shared" si="4"/>
        <v>11.401295831963409</v>
      </c>
      <c r="H146" s="62">
        <f t="shared" si="6"/>
        <v>2.7569516290477585E-2</v>
      </c>
      <c r="I146" s="17">
        <f t="shared" si="5"/>
        <v>8.5336021816195151E-2</v>
      </c>
      <c r="K146" s="28" t="s">
        <v>5</v>
      </c>
      <c r="N146" s="18"/>
      <c r="O146" s="18">
        <f t="shared" si="7"/>
        <v>8.5336021816195142</v>
      </c>
    </row>
    <row r="147" spans="3:15" x14ac:dyDescent="0.2">
      <c r="C147" s="28" t="s">
        <v>22</v>
      </c>
      <c r="D147" s="63">
        <v>150079</v>
      </c>
      <c r="E147" s="63">
        <v>167091.95800000001</v>
      </c>
      <c r="F147" s="63">
        <v>156667.43299999999</v>
      </c>
      <c r="G147" s="60">
        <f t="shared" si="4"/>
        <v>4.3899766123175032</v>
      </c>
      <c r="H147" s="62">
        <f t="shared" si="6"/>
        <v>5.9411782843861449E-2</v>
      </c>
      <c r="I147" s="17">
        <f t="shared" si="5"/>
        <v>-6.238795166910438E-2</v>
      </c>
      <c r="K147" s="28" t="s">
        <v>22</v>
      </c>
      <c r="N147" s="18"/>
      <c r="O147" s="18">
        <f t="shared" si="7"/>
        <v>-6.238795166910438</v>
      </c>
    </row>
    <row r="148" spans="3:15" x14ac:dyDescent="0.2">
      <c r="C148" s="28" t="s">
        <v>18</v>
      </c>
      <c r="D148" s="63">
        <v>50411.790999999997</v>
      </c>
      <c r="E148" s="63">
        <v>48160.938000000002</v>
      </c>
      <c r="F148" s="63">
        <v>48464.529000000002</v>
      </c>
      <c r="G148" s="60">
        <f t="shared" si="4"/>
        <v>-3.8627114041633548</v>
      </c>
      <c r="H148" s="62">
        <f t="shared" si="6"/>
        <v>1.8378829712350147E-2</v>
      </c>
      <c r="I148" s="17">
        <f t="shared" si="5"/>
        <v>6.3036770587816537E-3</v>
      </c>
      <c r="K148" s="28" t="s">
        <v>18</v>
      </c>
      <c r="N148" s="18"/>
      <c r="O148" s="18">
        <f t="shared" si="7"/>
        <v>0.63036770587816537</v>
      </c>
    </row>
    <row r="149" spans="3:15" x14ac:dyDescent="0.2">
      <c r="C149" s="28" t="s">
        <v>23</v>
      </c>
      <c r="D149" s="63">
        <v>54134</v>
      </c>
      <c r="E149" s="63">
        <v>51004.67</v>
      </c>
      <c r="F149" s="63">
        <v>53268.116000000002</v>
      </c>
      <c r="G149" s="60">
        <f t="shared" si="4"/>
        <v>-1.599519710348396</v>
      </c>
      <c r="H149" s="62">
        <f t="shared" si="6"/>
        <v>2.020045697878781E-2</v>
      </c>
      <c r="I149" s="17">
        <f t="shared" si="5"/>
        <v>4.4377230555554981E-2</v>
      </c>
      <c r="K149" s="28" t="s">
        <v>23</v>
      </c>
      <c r="N149" s="18"/>
      <c r="O149" s="18">
        <f t="shared" si="7"/>
        <v>4.4377230555554981</v>
      </c>
    </row>
    <row r="150" spans="3:15" x14ac:dyDescent="0.2">
      <c r="C150" s="28" t="s">
        <v>17</v>
      </c>
      <c r="D150" s="63">
        <v>15117</v>
      </c>
      <c r="E150" s="63">
        <v>12868.646000000001</v>
      </c>
      <c r="F150" s="63">
        <v>15132.415999999999</v>
      </c>
      <c r="G150" s="60">
        <f t="shared" si="4"/>
        <v>0.10197790566910392</v>
      </c>
      <c r="H150" s="62">
        <f t="shared" si="6"/>
        <v>5.7385494616164065E-3</v>
      </c>
      <c r="I150" s="17">
        <f t="shared" si="5"/>
        <v>0.17591361204589817</v>
      </c>
      <c r="K150" s="28" t="s">
        <v>17</v>
      </c>
      <c r="N150" s="18"/>
      <c r="O150" s="18">
        <f t="shared" si="7"/>
        <v>17.591361204589816</v>
      </c>
    </row>
    <row r="151" spans="3:15" x14ac:dyDescent="0.2">
      <c r="C151" s="28" t="s">
        <v>20</v>
      </c>
      <c r="D151" s="63">
        <v>27172</v>
      </c>
      <c r="E151" s="63">
        <v>24294</v>
      </c>
      <c r="F151" s="63">
        <v>27169</v>
      </c>
      <c r="G151" s="60">
        <f t="shared" si="4"/>
        <v>-1.1040777270721058E-2</v>
      </c>
      <c r="H151" s="62">
        <f t="shared" si="6"/>
        <v>1.0303090420105829E-2</v>
      </c>
      <c r="I151" s="17">
        <f t="shared" si="5"/>
        <v>0.11834197744299013</v>
      </c>
      <c r="K151" s="28" t="s">
        <v>20</v>
      </c>
      <c r="N151" s="18"/>
      <c r="O151" s="18">
        <f t="shared" si="7"/>
        <v>11.834197744299013</v>
      </c>
    </row>
    <row r="152" spans="3:15" x14ac:dyDescent="0.2">
      <c r="C152" s="28" t="s">
        <v>8</v>
      </c>
      <c r="D152" s="63">
        <v>68353</v>
      </c>
      <c r="E152" s="63">
        <v>69160</v>
      </c>
      <c r="F152" s="63">
        <v>78300</v>
      </c>
      <c r="G152" s="60">
        <f t="shared" si="4"/>
        <v>14.552397114976667</v>
      </c>
      <c r="H152" s="62">
        <f t="shared" si="6"/>
        <v>2.969310537356128E-2</v>
      </c>
      <c r="I152" s="17">
        <f t="shared" si="5"/>
        <v>0.13215731636784267</v>
      </c>
      <c r="K152" s="28" t="s">
        <v>8</v>
      </c>
      <c r="N152" s="18"/>
      <c r="O152" s="18">
        <f t="shared" si="7"/>
        <v>13.215731636784266</v>
      </c>
    </row>
    <row r="153" spans="3:15" x14ac:dyDescent="0.2">
      <c r="C153" s="28" t="s">
        <v>6</v>
      </c>
      <c r="D153" s="63">
        <v>149539</v>
      </c>
      <c r="E153" s="63">
        <v>169996</v>
      </c>
      <c r="F153" s="63">
        <v>163109</v>
      </c>
      <c r="G153" s="60">
        <f t="shared" si="4"/>
        <v>9.0745558014966079</v>
      </c>
      <c r="H153" s="62">
        <f t="shared" si="6"/>
        <v>6.1854568638265731E-2</v>
      </c>
      <c r="I153" s="17">
        <f t="shared" si="5"/>
        <v>-4.0512717946304622E-2</v>
      </c>
      <c r="K153" s="28" t="s">
        <v>6</v>
      </c>
      <c r="N153" s="18"/>
      <c r="O153" s="18">
        <f t="shared" si="7"/>
        <v>-4.0512717946304626</v>
      </c>
    </row>
    <row r="154" spans="3:15" x14ac:dyDescent="0.2">
      <c r="C154" s="28" t="s">
        <v>41</v>
      </c>
      <c r="D154" s="63">
        <v>18000</v>
      </c>
      <c r="E154" s="63" t="s">
        <v>44</v>
      </c>
      <c r="F154" s="63" t="s">
        <v>44</v>
      </c>
      <c r="G154" s="60" t="e">
        <f t="shared" ref="G154:G167" si="8">(F154/D154-1)*100</f>
        <v>#VALUE!</v>
      </c>
      <c r="H154" s="62" t="e">
        <f t="shared" ref="H154:H167" si="9">F154/F$67</f>
        <v>#VALUE!</v>
      </c>
      <c r="I154" s="17" t="e">
        <f t="shared" ref="I154:I167" si="10">F154/E154-1</f>
        <v>#VALUE!</v>
      </c>
      <c r="K154" s="28" t="s">
        <v>41</v>
      </c>
      <c r="N154" s="18"/>
      <c r="O154" s="18" t="e">
        <f t="shared" si="7"/>
        <v>#VALUE!</v>
      </c>
    </row>
    <row r="155" spans="3:15" x14ac:dyDescent="0.2">
      <c r="C155" s="28" t="s">
        <v>62</v>
      </c>
      <c r="D155" s="63" t="s">
        <v>44</v>
      </c>
      <c r="E155" s="63">
        <v>100.5</v>
      </c>
      <c r="F155" s="63">
        <v>125.5</v>
      </c>
      <c r="G155" s="60" t="e">
        <f t="shared" si="8"/>
        <v>#VALUE!</v>
      </c>
      <c r="H155" s="62">
        <f t="shared" si="9"/>
        <v>4.7592397501685065E-5</v>
      </c>
      <c r="I155" s="17">
        <f t="shared" si="10"/>
        <v>0.24875621890547261</v>
      </c>
      <c r="K155" s="28" t="s">
        <v>62</v>
      </c>
      <c r="N155" s="18"/>
      <c r="O155" s="18">
        <f t="shared" si="7"/>
        <v>24.875621890547261</v>
      </c>
    </row>
    <row r="156" spans="3:15" x14ac:dyDescent="0.2">
      <c r="C156" s="28" t="s">
        <v>25</v>
      </c>
      <c r="D156" s="63">
        <v>133485</v>
      </c>
      <c r="E156" s="63">
        <v>146077.30600000001</v>
      </c>
      <c r="F156" s="63">
        <v>154206.48699999999</v>
      </c>
      <c r="G156" s="60">
        <f t="shared" si="8"/>
        <v>15.52345731730156</v>
      </c>
      <c r="H156" s="62">
        <f t="shared" si="9"/>
        <v>5.8478537264083107E-2</v>
      </c>
      <c r="I156" s="17">
        <f t="shared" si="10"/>
        <v>5.564985570037817E-2</v>
      </c>
      <c r="K156" s="28" t="s">
        <v>25</v>
      </c>
      <c r="N156" s="18"/>
      <c r="O156" s="18">
        <f t="shared" si="7"/>
        <v>5.564985570037817</v>
      </c>
    </row>
    <row r="157" spans="3:15" x14ac:dyDescent="0.2">
      <c r="C157" s="28" t="s">
        <v>11</v>
      </c>
      <c r="D157" s="63">
        <v>340434</v>
      </c>
      <c r="E157" s="63" t="s">
        <v>44</v>
      </c>
      <c r="F157" s="63" t="s">
        <v>44</v>
      </c>
      <c r="G157" s="60" t="e">
        <f t="shared" si="8"/>
        <v>#VALUE!</v>
      </c>
      <c r="H157" s="62" t="e">
        <f t="shared" si="9"/>
        <v>#VALUE!</v>
      </c>
      <c r="I157" s="17" t="e">
        <f t="shared" si="10"/>
        <v>#VALUE!</v>
      </c>
      <c r="K157" s="28" t="s">
        <v>11</v>
      </c>
      <c r="N157" s="18"/>
      <c r="O157" s="18" t="e">
        <f t="shared" si="7"/>
        <v>#VALUE!</v>
      </c>
    </row>
    <row r="158" spans="3:15" x14ac:dyDescent="0.2">
      <c r="C158" s="28" t="s">
        <v>63</v>
      </c>
      <c r="D158" s="63" t="s">
        <v>44</v>
      </c>
      <c r="E158" s="63">
        <v>15218</v>
      </c>
      <c r="F158" s="63">
        <v>16100</v>
      </c>
      <c r="G158" s="60" t="e">
        <f t="shared" si="8"/>
        <v>#VALUE!</v>
      </c>
      <c r="H158" s="62">
        <f t="shared" si="9"/>
        <v>6.1054788826862914E-3</v>
      </c>
      <c r="I158" s="17">
        <f t="shared" si="10"/>
        <v>5.7957681692732299E-2</v>
      </c>
      <c r="K158" s="28" t="s">
        <v>63</v>
      </c>
      <c r="N158" s="18"/>
      <c r="O158" s="18">
        <f t="shared" si="7"/>
        <v>5.7957681692732299</v>
      </c>
    </row>
    <row r="159" spans="3:15" x14ac:dyDescent="0.2">
      <c r="C159" s="28" t="s">
        <v>40</v>
      </c>
      <c r="D159" s="63">
        <v>3809</v>
      </c>
      <c r="E159" s="63">
        <v>3216.1</v>
      </c>
      <c r="F159" s="63">
        <v>4059.4</v>
      </c>
      <c r="G159" s="60">
        <f t="shared" si="8"/>
        <v>6.5739039117878706</v>
      </c>
      <c r="H159" s="62">
        <f t="shared" si="9"/>
        <v>1.5394149674768155E-3</v>
      </c>
      <c r="I159" s="17">
        <f t="shared" si="10"/>
        <v>0.26221199589565014</v>
      </c>
      <c r="K159" s="28" t="s">
        <v>40</v>
      </c>
      <c r="N159" s="18"/>
      <c r="O159" s="18">
        <f t="shared" si="7"/>
        <v>26.221199589565014</v>
      </c>
    </row>
    <row r="160" spans="3:15" x14ac:dyDescent="0.2">
      <c r="C160" s="28" t="s">
        <v>64</v>
      </c>
      <c r="D160" s="63">
        <v>781</v>
      </c>
      <c r="E160" s="63">
        <v>889</v>
      </c>
      <c r="F160" s="63">
        <v>1062.8</v>
      </c>
      <c r="G160" s="60">
        <f t="shared" si="8"/>
        <v>36.081946222791281</v>
      </c>
      <c r="H160" s="62">
        <f t="shared" si="9"/>
        <v>4.0303745071546519E-4</v>
      </c>
      <c r="I160" s="17">
        <f t="shared" si="10"/>
        <v>0.19550056242969616</v>
      </c>
      <c r="K160" s="28" t="s">
        <v>64</v>
      </c>
      <c r="N160" s="18"/>
      <c r="O160" s="18">
        <f t="shared" si="7"/>
        <v>19.550056242969617</v>
      </c>
    </row>
    <row r="161" spans="1:15" x14ac:dyDescent="0.2">
      <c r="C161" s="28" t="s">
        <v>48</v>
      </c>
      <c r="D161" s="63">
        <v>5672</v>
      </c>
      <c r="E161" s="63">
        <v>5559.5209999999997</v>
      </c>
      <c r="F161" s="63">
        <v>6481.0739999999996</v>
      </c>
      <c r="G161" s="60">
        <f t="shared" si="8"/>
        <v>14.264351198871639</v>
      </c>
      <c r="H161" s="62">
        <f t="shared" si="9"/>
        <v>2.4577677294488924E-3</v>
      </c>
      <c r="I161" s="17">
        <f t="shared" si="10"/>
        <v>0.16576122295427975</v>
      </c>
      <c r="K161" s="28" t="s">
        <v>48</v>
      </c>
      <c r="N161" s="18"/>
      <c r="O161" s="18">
        <f t="shared" si="7"/>
        <v>16.576122295427975</v>
      </c>
    </row>
    <row r="162" spans="1:15" x14ac:dyDescent="0.2">
      <c r="C162" s="28" t="s">
        <v>65</v>
      </c>
      <c r="D162" s="63">
        <v>9860</v>
      </c>
      <c r="E162" s="63">
        <v>13988.2</v>
      </c>
      <c r="F162" s="63">
        <v>14127.370999999999</v>
      </c>
      <c r="G162" s="60">
        <f t="shared" si="8"/>
        <v>43.27962474645031</v>
      </c>
      <c r="H162" s="62">
        <f t="shared" si="9"/>
        <v>5.3574139943089877E-3</v>
      </c>
      <c r="I162" s="17">
        <f t="shared" si="10"/>
        <v>9.9491714445030244E-3</v>
      </c>
      <c r="K162" s="28" t="s">
        <v>65</v>
      </c>
      <c r="N162" s="18"/>
      <c r="O162" s="18">
        <f t="shared" si="7"/>
        <v>0.99491714445030244</v>
      </c>
    </row>
    <row r="163" spans="1:15" x14ac:dyDescent="0.2">
      <c r="C163" s="28" t="s">
        <v>39</v>
      </c>
      <c r="D163" s="63">
        <v>6950</v>
      </c>
      <c r="E163" s="63">
        <v>6974.241</v>
      </c>
      <c r="F163" s="63">
        <v>8879.7369999999992</v>
      </c>
      <c r="G163" s="60">
        <f t="shared" si="8"/>
        <v>27.76599999999998</v>
      </c>
      <c r="H163" s="62">
        <f t="shared" si="9"/>
        <v>3.3673942072862183E-3</v>
      </c>
      <c r="I163" s="17">
        <f t="shared" si="10"/>
        <v>0.27321912162197992</v>
      </c>
      <c r="K163" s="28" t="s">
        <v>39</v>
      </c>
      <c r="N163" s="18"/>
      <c r="O163" s="18">
        <f t="shared" si="7"/>
        <v>27.321912162197993</v>
      </c>
    </row>
    <row r="164" spans="1:15" x14ac:dyDescent="0.2">
      <c r="C164" s="28" t="s">
        <v>38</v>
      </c>
      <c r="D164" s="63">
        <v>37170</v>
      </c>
      <c r="E164" s="63">
        <v>32828.355000000003</v>
      </c>
      <c r="F164" s="63">
        <v>37376.239999999998</v>
      </c>
      <c r="G164" s="60">
        <f t="shared" si="8"/>
        <v>0.55485606672047716</v>
      </c>
      <c r="H164" s="62">
        <f t="shared" si="9"/>
        <v>1.41739033561624E-2</v>
      </c>
      <c r="I164" s="17">
        <f t="shared" si="10"/>
        <v>0.13853526928169235</v>
      </c>
      <c r="K164" s="28" t="s">
        <v>38</v>
      </c>
      <c r="N164" s="18"/>
      <c r="O164" s="18">
        <f t="shared" si="7"/>
        <v>13.853526928169234</v>
      </c>
    </row>
    <row r="165" spans="1:15" x14ac:dyDescent="0.2">
      <c r="C165" s="28" t="s">
        <v>72</v>
      </c>
      <c r="D165" s="63">
        <v>228977</v>
      </c>
      <c r="E165" s="63">
        <v>312917.57500000001</v>
      </c>
      <c r="F165" s="63">
        <v>314946.98499999999</v>
      </c>
      <c r="G165" s="60">
        <f t="shared" si="8"/>
        <v>37.545249086152751</v>
      </c>
      <c r="H165" s="62">
        <f t="shared" si="9"/>
        <v>0.11943491714802584</v>
      </c>
      <c r="I165" s="17">
        <f t="shared" si="10"/>
        <v>6.4854458877867671E-3</v>
      </c>
      <c r="K165" s="28" t="s">
        <v>72</v>
      </c>
      <c r="N165" s="18"/>
      <c r="O165" s="18">
        <f t="shared" si="7"/>
        <v>0.64854458877867671</v>
      </c>
    </row>
    <row r="166" spans="1:15" x14ac:dyDescent="0.2">
      <c r="C166" s="28" t="s">
        <v>46</v>
      </c>
      <c r="D166" s="63">
        <v>179084</v>
      </c>
      <c r="E166" s="63" t="s">
        <v>44</v>
      </c>
      <c r="F166" s="63" t="s">
        <v>44</v>
      </c>
      <c r="G166" s="60" t="e">
        <f t="shared" si="8"/>
        <v>#VALUE!</v>
      </c>
      <c r="H166" s="62" t="e">
        <f t="shared" si="9"/>
        <v>#VALUE!</v>
      </c>
      <c r="I166" s="17" t="e">
        <f t="shared" si="10"/>
        <v>#VALUE!</v>
      </c>
      <c r="K166" s="28" t="s">
        <v>46</v>
      </c>
      <c r="N166" s="18"/>
      <c r="O166" s="18" t="e">
        <f t="shared" si="7"/>
        <v>#VALUE!</v>
      </c>
    </row>
    <row r="167" spans="1:15" x14ac:dyDescent="0.2">
      <c r="C167" s="28" t="s">
        <v>70</v>
      </c>
      <c r="D167" s="63">
        <v>5861</v>
      </c>
      <c r="E167" s="63" t="s">
        <v>44</v>
      </c>
      <c r="F167" s="63">
        <v>5697.817</v>
      </c>
      <c r="G167" s="60">
        <f t="shared" si="8"/>
        <v>-2.7842177102883503</v>
      </c>
      <c r="H167" s="62">
        <f t="shared" si="9"/>
        <v>2.1607392155845312E-3</v>
      </c>
      <c r="I167" s="17" t="e">
        <f t="shared" si="10"/>
        <v>#VALUE!</v>
      </c>
      <c r="K167" s="28" t="s">
        <v>70</v>
      </c>
      <c r="N167" s="18"/>
      <c r="O167" s="18" t="e">
        <f t="shared" si="7"/>
        <v>#VALUE!</v>
      </c>
    </row>
    <row r="168" spans="1:15" x14ac:dyDescent="0.2">
      <c r="C168" s="23"/>
      <c r="D168" s="64"/>
      <c r="E168" s="64"/>
      <c r="F168" s="64"/>
      <c r="G168" s="60"/>
      <c r="H168" s="62"/>
      <c r="I168" s="17"/>
      <c r="O168" s="17"/>
    </row>
    <row r="169" spans="1:15" x14ac:dyDescent="0.2">
      <c r="C169" s="40" t="s">
        <v>132</v>
      </c>
      <c r="D169" s="23"/>
      <c r="E169" s="23"/>
      <c r="F169" s="23"/>
      <c r="G169" s="23"/>
      <c r="H169" s="23"/>
      <c r="I169" s="23"/>
      <c r="K169" s="23"/>
    </row>
    <row r="170" spans="1:15" x14ac:dyDescent="0.2">
      <c r="C170" s="40" t="s">
        <v>44</v>
      </c>
      <c r="D170" s="39" t="s">
        <v>133</v>
      </c>
      <c r="E170" s="23"/>
      <c r="F170" s="23"/>
    </row>
    <row r="171" spans="1:15" x14ac:dyDescent="0.2">
      <c r="C171" s="23"/>
      <c r="D171" s="23"/>
      <c r="E171" s="23"/>
      <c r="F171" s="23"/>
    </row>
    <row r="175" spans="1:15" x14ac:dyDescent="0.2">
      <c r="D175" s="9">
        <v>2013</v>
      </c>
      <c r="E175" s="9">
        <v>2022</v>
      </c>
      <c r="F175" s="9">
        <v>2023</v>
      </c>
      <c r="G175" s="58" t="s">
        <v>166</v>
      </c>
    </row>
    <row r="176" spans="1:15" x14ac:dyDescent="0.2">
      <c r="A176" s="9" t="s">
        <v>141</v>
      </c>
      <c r="C176" s="9" t="s">
        <v>50</v>
      </c>
      <c r="D176" s="3">
        <v>2774281.051</v>
      </c>
      <c r="E176" s="3">
        <v>2698376.7</v>
      </c>
      <c r="F176" s="3">
        <v>2636975.79</v>
      </c>
      <c r="G176" s="60">
        <f t="shared" ref="G176" si="11">(F176/D176-1)*100</f>
        <v>-4.9492195807093076</v>
      </c>
    </row>
    <row r="177" spans="3:7" x14ac:dyDescent="0.2">
      <c r="C177" s="9" t="s">
        <v>9</v>
      </c>
      <c r="D177" s="64">
        <v>4451</v>
      </c>
      <c r="E177" s="64">
        <v>4497</v>
      </c>
      <c r="F177" s="64">
        <v>5705.9</v>
      </c>
      <c r="G177" s="60">
        <f>(F177/D177-1)*100</f>
        <v>28.193664345090987</v>
      </c>
    </row>
    <row r="178" spans="3:7" x14ac:dyDescent="0.2">
      <c r="C178" s="9" t="s">
        <v>26</v>
      </c>
      <c r="D178" s="65">
        <v>13660</v>
      </c>
      <c r="E178" s="65">
        <v>13696.4</v>
      </c>
      <c r="F178" s="65">
        <v>17002.8</v>
      </c>
      <c r="G178" s="60">
        <f t="shared" ref="G177:G203" si="12">(F178/D178-1)*100</f>
        <v>24.471449487554906</v>
      </c>
    </row>
    <row r="179" spans="3:7" x14ac:dyDescent="0.2">
      <c r="C179" s="9" t="s">
        <v>27</v>
      </c>
      <c r="D179" s="64">
        <v>4119.1450000000004</v>
      </c>
      <c r="E179" s="65">
        <v>5025.4480000000003</v>
      </c>
      <c r="F179" s="65">
        <v>5087.0950000000003</v>
      </c>
      <c r="G179" s="60">
        <f t="shared" si="12"/>
        <v>23.498808611981371</v>
      </c>
    </row>
    <row r="180" spans="3:7" x14ac:dyDescent="0.2">
      <c r="C180" s="9" t="s">
        <v>3</v>
      </c>
      <c r="D180" s="3">
        <v>25116.333999999999</v>
      </c>
      <c r="E180" s="3">
        <v>33036.841</v>
      </c>
      <c r="F180" s="3">
        <v>30989.804</v>
      </c>
      <c r="G180" s="60">
        <f t="shared" si="12"/>
        <v>23.385060893042752</v>
      </c>
    </row>
    <row r="181" spans="3:7" x14ac:dyDescent="0.2">
      <c r="C181" s="9" t="s">
        <v>4</v>
      </c>
      <c r="D181" s="64">
        <v>97449.789000000004</v>
      </c>
      <c r="E181" s="64">
        <v>117274.344</v>
      </c>
      <c r="F181" s="64">
        <v>117533.912</v>
      </c>
      <c r="G181" s="60">
        <f t="shared" si="12"/>
        <v>20.609714198560237</v>
      </c>
    </row>
    <row r="182" spans="3:7" x14ac:dyDescent="0.2">
      <c r="C182" s="9" t="s">
        <v>21</v>
      </c>
      <c r="D182" s="64">
        <v>28031</v>
      </c>
      <c r="E182" s="65">
        <v>33808.36</v>
      </c>
      <c r="F182" s="65">
        <v>33758.521999999997</v>
      </c>
      <c r="G182" s="60">
        <f t="shared" si="12"/>
        <v>20.432813670578987</v>
      </c>
    </row>
    <row r="183" spans="3:7" x14ac:dyDescent="0.2">
      <c r="C183" s="9" t="s">
        <v>8</v>
      </c>
      <c r="D183" s="65">
        <v>68353</v>
      </c>
      <c r="E183" s="65">
        <v>69160</v>
      </c>
      <c r="F183" s="65">
        <v>78300</v>
      </c>
      <c r="G183" s="60">
        <f t="shared" si="12"/>
        <v>14.552397114976667</v>
      </c>
    </row>
    <row r="184" spans="3:7" x14ac:dyDescent="0.2">
      <c r="C184" s="9" t="s">
        <v>5</v>
      </c>
      <c r="D184" s="66">
        <v>65259.696000000004</v>
      </c>
      <c r="E184" s="3">
        <v>66983.998999999996</v>
      </c>
      <c r="F184" s="3">
        <v>72700.146999999997</v>
      </c>
      <c r="G184" s="60">
        <f t="shared" si="12"/>
        <v>11.401295831963409</v>
      </c>
    </row>
    <row r="185" spans="3:7" x14ac:dyDescent="0.2">
      <c r="C185" s="9" t="s">
        <v>6</v>
      </c>
      <c r="D185" s="3">
        <v>149539</v>
      </c>
      <c r="E185" s="3">
        <v>169996</v>
      </c>
      <c r="F185" s="3">
        <v>163109</v>
      </c>
      <c r="G185" s="60">
        <f t="shared" si="12"/>
        <v>9.0745558014966079</v>
      </c>
    </row>
    <row r="186" spans="3:7" x14ac:dyDescent="0.2">
      <c r="C186" s="9" t="s">
        <v>28</v>
      </c>
      <c r="D186" s="64">
        <v>2137</v>
      </c>
      <c r="E186" s="64">
        <v>2241.5430000000001</v>
      </c>
      <c r="F186" s="64">
        <v>2295.9169999999999</v>
      </c>
      <c r="G186" s="60">
        <f t="shared" si="12"/>
        <v>7.4364529714552985</v>
      </c>
    </row>
    <row r="187" spans="3:7" x14ac:dyDescent="0.2">
      <c r="C187" s="9" t="s">
        <v>10</v>
      </c>
      <c r="D187" s="64">
        <v>5799.89</v>
      </c>
      <c r="E187" s="64">
        <v>4801.32</v>
      </c>
      <c r="F187" s="64">
        <v>6135.0690000000004</v>
      </c>
      <c r="G187" s="60">
        <f t="shared" si="12"/>
        <v>5.7790578786839131</v>
      </c>
    </row>
    <row r="188" spans="3:7" x14ac:dyDescent="0.2">
      <c r="C188" s="9" t="s">
        <v>22</v>
      </c>
      <c r="D188" s="66">
        <v>150079</v>
      </c>
      <c r="E188" s="3">
        <v>167091.95800000001</v>
      </c>
      <c r="F188" s="3">
        <v>156667.43299999999</v>
      </c>
      <c r="G188" s="60">
        <f t="shared" si="12"/>
        <v>4.3899766123175032</v>
      </c>
    </row>
    <row r="189" spans="3:7" x14ac:dyDescent="0.2">
      <c r="C189" s="9" t="s">
        <v>14</v>
      </c>
      <c r="D189" s="66">
        <v>275399</v>
      </c>
      <c r="E189" s="66">
        <v>283174</v>
      </c>
      <c r="F189" s="66">
        <v>277108.5</v>
      </c>
      <c r="G189" s="60">
        <f t="shared" si="12"/>
        <v>0.6207357325189955</v>
      </c>
    </row>
    <row r="190" spans="3:7" x14ac:dyDescent="0.2">
      <c r="C190" s="9" t="s">
        <v>2</v>
      </c>
      <c r="D190" s="64">
        <v>80296.399999999994</v>
      </c>
      <c r="E190" s="64">
        <v>92332.5</v>
      </c>
      <c r="F190" s="64">
        <v>80700.100000000006</v>
      </c>
      <c r="G190" s="60">
        <f t="shared" si="12"/>
        <v>0.50276226580521222</v>
      </c>
    </row>
    <row r="191" spans="3:7" x14ac:dyDescent="0.2">
      <c r="C191" s="9" t="s">
        <v>17</v>
      </c>
      <c r="D191" s="64">
        <v>15117</v>
      </c>
      <c r="E191" s="65">
        <v>12868.646000000001</v>
      </c>
      <c r="F191" s="65">
        <v>15132.415999999999</v>
      </c>
      <c r="G191" s="60">
        <f t="shared" si="12"/>
        <v>0.10197790566910392</v>
      </c>
    </row>
    <row r="192" spans="3:7" x14ac:dyDescent="0.2">
      <c r="C192" s="9" t="s">
        <v>20</v>
      </c>
      <c r="D192" s="3">
        <v>27172</v>
      </c>
      <c r="E192" s="3">
        <v>24294</v>
      </c>
      <c r="F192" s="3">
        <v>27169</v>
      </c>
      <c r="G192" s="60">
        <f t="shared" si="12"/>
        <v>-1.1040777270721058E-2</v>
      </c>
    </row>
    <row r="193" spans="1:7" x14ac:dyDescent="0.2">
      <c r="C193" s="9" t="s">
        <v>7</v>
      </c>
      <c r="D193" s="66">
        <v>33138.124000000003</v>
      </c>
      <c r="E193" s="3">
        <v>34090.000999999997</v>
      </c>
      <c r="F193" s="3">
        <v>32888.737999999998</v>
      </c>
      <c r="G193" s="60">
        <f t="shared" si="12"/>
        <v>-0.75256523272110298</v>
      </c>
    </row>
    <row r="194" spans="1:7" x14ac:dyDescent="0.2">
      <c r="C194" s="9" t="s">
        <v>23</v>
      </c>
      <c r="D194" s="64">
        <v>54134</v>
      </c>
      <c r="E194" s="64">
        <v>51004.67</v>
      </c>
      <c r="F194" s="64">
        <v>53268.116000000002</v>
      </c>
      <c r="G194" s="60">
        <f t="shared" si="12"/>
        <v>-1.599519710348396</v>
      </c>
    </row>
    <row r="195" spans="1:7" x14ac:dyDescent="0.2">
      <c r="C195" s="9" t="s">
        <v>18</v>
      </c>
      <c r="D195" s="3">
        <v>50411.790999999997</v>
      </c>
      <c r="E195" s="3">
        <v>48160.938000000002</v>
      </c>
      <c r="F195" s="3">
        <v>48464.529000000002</v>
      </c>
      <c r="G195" s="60">
        <f t="shared" si="12"/>
        <v>-3.8627114041633548</v>
      </c>
    </row>
    <row r="196" spans="1:7" x14ac:dyDescent="0.2">
      <c r="C196" s="9" t="s">
        <v>16</v>
      </c>
      <c r="D196" s="64">
        <v>52560</v>
      </c>
      <c r="E196" s="65">
        <v>51596.764999999999</v>
      </c>
      <c r="F196" s="64">
        <v>49386.925999999999</v>
      </c>
      <c r="G196" s="60">
        <f t="shared" si="12"/>
        <v>-6.0370509893455164</v>
      </c>
    </row>
    <row r="197" spans="1:7" x14ac:dyDescent="0.2">
      <c r="C197" s="9" t="s">
        <v>24</v>
      </c>
      <c r="D197" s="64">
        <v>39849</v>
      </c>
      <c r="E197" s="64">
        <v>45959.981</v>
      </c>
      <c r="F197" s="64">
        <v>36923.192000000003</v>
      </c>
      <c r="G197" s="60">
        <f t="shared" si="12"/>
        <v>-7.3422369444653519</v>
      </c>
    </row>
    <row r="198" spans="1:7" x14ac:dyDescent="0.2">
      <c r="C198" s="9" t="s">
        <v>15</v>
      </c>
      <c r="D198" s="64">
        <v>278833.39199999999</v>
      </c>
      <c r="E198" s="64">
        <v>274616.239</v>
      </c>
      <c r="F198" s="64">
        <v>256570.071</v>
      </c>
      <c r="G198" s="60">
        <f t="shared" si="12"/>
        <v>-7.9844529524641716</v>
      </c>
    </row>
    <row r="199" spans="1:7" x14ac:dyDescent="0.2">
      <c r="C199" s="9" t="s">
        <v>13</v>
      </c>
      <c r="D199" s="66">
        <v>557989.12100000004</v>
      </c>
      <c r="E199" s="3">
        <v>454562.96899999998</v>
      </c>
      <c r="F199" s="3">
        <v>503116.24400000001</v>
      </c>
      <c r="G199" s="60">
        <f t="shared" si="12"/>
        <v>-9.8340406532764657</v>
      </c>
    </row>
    <row r="200" spans="1:7" x14ac:dyDescent="0.2">
      <c r="C200" s="9" t="s">
        <v>47</v>
      </c>
      <c r="D200" s="3">
        <v>79777</v>
      </c>
      <c r="E200" s="3">
        <v>78197.94</v>
      </c>
      <c r="F200" s="3">
        <v>71054.838000000003</v>
      </c>
      <c r="G200" s="60">
        <f t="shared" si="12"/>
        <v>-10.933178735725836</v>
      </c>
    </row>
    <row r="201" spans="1:7" x14ac:dyDescent="0.2">
      <c r="C201" s="9" t="s">
        <v>1</v>
      </c>
      <c r="D201" s="3">
        <v>2860.3690000000001</v>
      </c>
      <c r="E201" s="3">
        <v>2239.866</v>
      </c>
      <c r="F201" s="66">
        <v>2504.5189999999998</v>
      </c>
      <c r="G201" s="60">
        <f t="shared" si="12"/>
        <v>-12.440702580681041</v>
      </c>
    </row>
    <row r="202" spans="1:7" x14ac:dyDescent="0.2">
      <c r="C202" s="9" t="s">
        <v>12</v>
      </c>
      <c r="D202" s="66">
        <v>600926</v>
      </c>
      <c r="E202" s="3">
        <v>550141</v>
      </c>
      <c r="F202" s="3">
        <v>488501.902</v>
      </c>
      <c r="G202" s="60">
        <f t="shared" si="12"/>
        <v>-18.708476251651618</v>
      </c>
    </row>
    <row r="203" spans="1:7" x14ac:dyDescent="0.2">
      <c r="C203" s="9" t="s">
        <v>19</v>
      </c>
      <c r="D203" s="3">
        <v>11823</v>
      </c>
      <c r="E203" s="3">
        <v>7523.9719999999998</v>
      </c>
      <c r="F203" s="3">
        <v>4901.1000000000004</v>
      </c>
      <c r="G203" s="60">
        <f t="shared" si="12"/>
        <v>-58.546054300938842</v>
      </c>
    </row>
    <row r="205" spans="1:7" x14ac:dyDescent="0.2">
      <c r="A205" s="9" t="s">
        <v>142</v>
      </c>
      <c r="C205" s="2" t="s">
        <v>25</v>
      </c>
      <c r="D205" s="66">
        <v>133485</v>
      </c>
      <c r="E205" s="66">
        <v>146077.30600000001</v>
      </c>
      <c r="F205" s="3">
        <v>154206.48699999999</v>
      </c>
      <c r="G205" s="60">
        <f t="shared" ref="G205" si="13">(F205/D205-1)*100</f>
        <v>15.52345731730156</v>
      </c>
    </row>
    <row r="207" spans="1:7" x14ac:dyDescent="0.2">
      <c r="A207" s="9" t="s">
        <v>135</v>
      </c>
      <c r="C207" s="39" t="s">
        <v>65</v>
      </c>
      <c r="D207" s="61">
        <v>9860</v>
      </c>
      <c r="E207" s="61">
        <v>13988.2</v>
      </c>
      <c r="F207" s="61">
        <v>14127.370999999999</v>
      </c>
      <c r="G207" s="60">
        <f t="shared" ref="G207:G214" si="14">(F207/D207-1)*100</f>
        <v>43.27962474645031</v>
      </c>
    </row>
    <row r="208" spans="1:7" x14ac:dyDescent="0.2">
      <c r="C208" s="39" t="s">
        <v>72</v>
      </c>
      <c r="D208" s="61">
        <v>228977</v>
      </c>
      <c r="E208" s="61">
        <v>312917.57500000001</v>
      </c>
      <c r="F208" s="61">
        <v>314946.98499999999</v>
      </c>
      <c r="G208" s="60">
        <f t="shared" si="14"/>
        <v>37.545249086152751</v>
      </c>
    </row>
    <row r="209" spans="1:7" x14ac:dyDescent="0.2">
      <c r="C209" s="39" t="s">
        <v>64</v>
      </c>
      <c r="D209" s="61">
        <v>781</v>
      </c>
      <c r="E209" s="61">
        <v>889</v>
      </c>
      <c r="F209" s="61">
        <v>1062.8</v>
      </c>
      <c r="G209" s="60">
        <f t="shared" si="14"/>
        <v>36.081946222791281</v>
      </c>
    </row>
    <row r="210" spans="1:7" x14ac:dyDescent="0.2">
      <c r="C210" s="39" t="s">
        <v>39</v>
      </c>
      <c r="D210" s="61">
        <v>6950</v>
      </c>
      <c r="E210" s="61">
        <v>6974.241</v>
      </c>
      <c r="F210" s="61">
        <v>8879.7369999999992</v>
      </c>
      <c r="G210" s="60">
        <f t="shared" si="14"/>
        <v>27.76599999999998</v>
      </c>
    </row>
    <row r="211" spans="1:7" x14ac:dyDescent="0.2">
      <c r="C211" s="39" t="s">
        <v>48</v>
      </c>
      <c r="D211" s="61">
        <v>5672</v>
      </c>
      <c r="E211" s="61">
        <v>5559.5209999999997</v>
      </c>
      <c r="F211" s="61">
        <v>6481.0739999999996</v>
      </c>
      <c r="G211" s="60">
        <f t="shared" si="14"/>
        <v>14.264351198871639</v>
      </c>
    </row>
    <row r="212" spans="1:7" x14ac:dyDescent="0.2">
      <c r="C212" s="39" t="s">
        <v>40</v>
      </c>
      <c r="D212" s="61">
        <v>3809</v>
      </c>
      <c r="E212" s="61">
        <v>3216.1</v>
      </c>
      <c r="F212" s="61">
        <v>4059.4</v>
      </c>
      <c r="G212" s="60">
        <f t="shared" si="14"/>
        <v>6.5739039117878706</v>
      </c>
    </row>
    <row r="213" spans="1:7" x14ac:dyDescent="0.2">
      <c r="C213" s="39" t="s">
        <v>38</v>
      </c>
      <c r="D213" s="61">
        <v>37170</v>
      </c>
      <c r="E213" s="61">
        <v>32828.355000000003</v>
      </c>
      <c r="F213" s="61">
        <v>37376.239999999998</v>
      </c>
      <c r="G213" s="60">
        <f t="shared" si="14"/>
        <v>0.55485606672047716</v>
      </c>
    </row>
    <row r="214" spans="1:7" x14ac:dyDescent="0.2">
      <c r="C214" s="39" t="s">
        <v>70</v>
      </c>
      <c r="D214" s="61">
        <v>5861</v>
      </c>
      <c r="E214" s="61" t="s">
        <v>44</v>
      </c>
      <c r="F214" s="61">
        <v>5697.817</v>
      </c>
      <c r="G214" s="60">
        <f t="shared" si="14"/>
        <v>-2.7842177102883503</v>
      </c>
    </row>
    <row r="216" spans="1:7" x14ac:dyDescent="0.2">
      <c r="A216" s="9" t="s">
        <v>169</v>
      </c>
    </row>
    <row r="217" spans="1:7" x14ac:dyDescent="0.2">
      <c r="C217" s="39" t="s">
        <v>170</v>
      </c>
      <c r="D217" s="23"/>
      <c r="E217" s="23"/>
      <c r="F217" s="23"/>
    </row>
    <row r="218" spans="1:7" x14ac:dyDescent="0.2">
      <c r="C218" s="39" t="s">
        <v>81</v>
      </c>
      <c r="D218" s="40" t="s">
        <v>140</v>
      </c>
      <c r="E218" s="23"/>
      <c r="F218" s="23"/>
    </row>
    <row r="219" spans="1:7" x14ac:dyDescent="0.2">
      <c r="C219" s="39" t="s">
        <v>83</v>
      </c>
      <c r="D219" s="107">
        <v>45987.958333333336</v>
      </c>
      <c r="E219" s="23"/>
      <c r="F219" s="23"/>
    </row>
    <row r="220" spans="1:7" x14ac:dyDescent="0.2">
      <c r="C220" s="23"/>
      <c r="D220" s="23"/>
      <c r="E220" s="23"/>
      <c r="F220" s="23"/>
    </row>
    <row r="221" spans="1:7" x14ac:dyDescent="0.2">
      <c r="C221" s="40" t="s">
        <v>84</v>
      </c>
      <c r="D221" s="23"/>
      <c r="E221" s="39" t="s">
        <v>85</v>
      </c>
      <c r="F221" s="23"/>
    </row>
    <row r="222" spans="1:7" x14ac:dyDescent="0.2">
      <c r="C222" s="40" t="s">
        <v>86</v>
      </c>
      <c r="D222" s="23"/>
      <c r="E222" s="39" t="s">
        <v>53</v>
      </c>
      <c r="F222" s="23"/>
    </row>
    <row r="223" spans="1:7" x14ac:dyDescent="0.2">
      <c r="C223" s="40" t="s">
        <v>87</v>
      </c>
      <c r="D223" s="23"/>
      <c r="E223" s="39" t="s">
        <v>53</v>
      </c>
      <c r="F223" s="23"/>
    </row>
    <row r="224" spans="1:7" x14ac:dyDescent="0.2">
      <c r="C224" s="40" t="s">
        <v>88</v>
      </c>
      <c r="D224" s="23"/>
      <c r="E224" s="39" t="s">
        <v>89</v>
      </c>
      <c r="F224" s="23"/>
    </row>
    <row r="225" spans="1:9" x14ac:dyDescent="0.2">
      <c r="C225" s="40" t="s">
        <v>90</v>
      </c>
      <c r="D225" s="23"/>
      <c r="E225" s="39" t="s">
        <v>53</v>
      </c>
      <c r="F225" s="23"/>
    </row>
    <row r="226" spans="1:9" x14ac:dyDescent="0.2">
      <c r="C226" s="40" t="s">
        <v>91</v>
      </c>
      <c r="D226" s="23"/>
      <c r="E226" s="39" t="s">
        <v>61</v>
      </c>
      <c r="F226" s="23"/>
    </row>
    <row r="227" spans="1:9" x14ac:dyDescent="0.2">
      <c r="C227" s="23"/>
      <c r="D227" s="23"/>
      <c r="E227" s="23"/>
      <c r="F227" s="23"/>
    </row>
    <row r="228" spans="1:9" x14ac:dyDescent="0.2">
      <c r="A228" s="45"/>
      <c r="B228" s="45"/>
      <c r="C228" s="67" t="s">
        <v>74</v>
      </c>
      <c r="D228" s="67">
        <v>2013</v>
      </c>
      <c r="E228" s="67">
        <v>2022</v>
      </c>
      <c r="F228" s="67">
        <v>2023</v>
      </c>
      <c r="G228" s="58" t="s">
        <v>166</v>
      </c>
      <c r="H228" s="47" t="s">
        <v>52</v>
      </c>
      <c r="I228" s="58" t="s">
        <v>167</v>
      </c>
    </row>
    <row r="229" spans="1:9" x14ac:dyDescent="0.2">
      <c r="C229" s="2" t="s">
        <v>50</v>
      </c>
      <c r="D229" s="3">
        <v>2774281.051</v>
      </c>
      <c r="E229" s="3">
        <v>2698376.7</v>
      </c>
      <c r="F229" s="3">
        <v>2636975.79</v>
      </c>
      <c r="G229" s="60">
        <f t="shared" ref="G229:G270" si="15">(F229/D229-1)*100</f>
        <v>-4.9492195807093076</v>
      </c>
      <c r="H229" s="47"/>
      <c r="I229" s="17">
        <f t="shared" ref="I229:I270" si="16">F229/E229-1</f>
        <v>-2.2754758444215817E-2</v>
      </c>
    </row>
    <row r="230" spans="1:9" x14ac:dyDescent="0.2">
      <c r="C230" s="8" t="s">
        <v>10</v>
      </c>
      <c r="D230" s="59">
        <v>5799.89</v>
      </c>
      <c r="E230" s="59">
        <v>4801.32</v>
      </c>
      <c r="F230" s="59">
        <v>6135.0690000000004</v>
      </c>
      <c r="G230" s="60">
        <f t="shared" ref="G230:G256" si="17">(F230/D230-1)*100</f>
        <v>5.7790578786839131</v>
      </c>
      <c r="H230" s="62">
        <f t="shared" ref="H230:H256" si="18">F230/F$67</f>
        <v>2.3265549207033107E-3</v>
      </c>
      <c r="I230" s="17">
        <f t="shared" ref="I230:I256" si="19">F230/E230-1</f>
        <v>0.27778798330459131</v>
      </c>
    </row>
    <row r="231" spans="1:9" x14ac:dyDescent="0.2">
      <c r="C231" s="8" t="s">
        <v>9</v>
      </c>
      <c r="D231" s="61">
        <v>4451</v>
      </c>
      <c r="E231" s="61">
        <v>4497</v>
      </c>
      <c r="F231" s="61">
        <v>5705.9</v>
      </c>
      <c r="G231" s="60">
        <f t="shared" si="17"/>
        <v>28.193664345090987</v>
      </c>
      <c r="H231" s="62">
        <f t="shared" si="18"/>
        <v>2.1638044693614725E-3</v>
      </c>
      <c r="I231" s="17">
        <f t="shared" si="19"/>
        <v>0.26882366021792303</v>
      </c>
    </row>
    <row r="232" spans="1:9" x14ac:dyDescent="0.2">
      <c r="C232" s="8" t="s">
        <v>26</v>
      </c>
      <c r="D232" s="61">
        <v>13660</v>
      </c>
      <c r="E232" s="61">
        <v>13696.4</v>
      </c>
      <c r="F232" s="61">
        <v>17002.8</v>
      </c>
      <c r="G232" s="60">
        <f t="shared" si="17"/>
        <v>24.471449487554906</v>
      </c>
      <c r="H232" s="62">
        <f t="shared" si="18"/>
        <v>6.4478407668657435E-3</v>
      </c>
      <c r="I232" s="17">
        <f t="shared" si="19"/>
        <v>0.24140650097835925</v>
      </c>
    </row>
    <row r="233" spans="1:9" x14ac:dyDescent="0.2">
      <c r="C233" s="8" t="s">
        <v>17</v>
      </c>
      <c r="D233" s="59">
        <v>15117</v>
      </c>
      <c r="E233" s="59">
        <v>12868.646000000001</v>
      </c>
      <c r="F233" s="59">
        <v>15132.415999999999</v>
      </c>
      <c r="G233" s="60">
        <f t="shared" si="17"/>
        <v>0.10197790566910392</v>
      </c>
      <c r="H233" s="62">
        <f t="shared" si="18"/>
        <v>5.7385494616164065E-3</v>
      </c>
      <c r="I233" s="17">
        <f t="shared" si="19"/>
        <v>0.17591361204589817</v>
      </c>
    </row>
    <row r="234" spans="1:9" x14ac:dyDescent="0.2">
      <c r="C234" s="8" t="s">
        <v>8</v>
      </c>
      <c r="D234" s="59">
        <v>68353</v>
      </c>
      <c r="E234" s="59">
        <v>69160</v>
      </c>
      <c r="F234" s="59">
        <v>78300</v>
      </c>
      <c r="G234" s="60">
        <f t="shared" si="17"/>
        <v>14.552397114976667</v>
      </c>
      <c r="H234" s="62">
        <f t="shared" si="18"/>
        <v>2.969310537356128E-2</v>
      </c>
      <c r="I234" s="17">
        <f t="shared" si="19"/>
        <v>0.13215731636784267</v>
      </c>
    </row>
    <row r="235" spans="1:9" x14ac:dyDescent="0.2">
      <c r="C235" s="8" t="s">
        <v>20</v>
      </c>
      <c r="D235" s="61">
        <v>27172</v>
      </c>
      <c r="E235" s="61">
        <v>24294</v>
      </c>
      <c r="F235" s="61">
        <v>27169</v>
      </c>
      <c r="G235" s="60">
        <f t="shared" si="17"/>
        <v>-1.1040777270721058E-2</v>
      </c>
      <c r="H235" s="62">
        <f t="shared" si="18"/>
        <v>1.0303090420105829E-2</v>
      </c>
      <c r="I235" s="17">
        <f t="shared" si="19"/>
        <v>0.11834197744299013</v>
      </c>
    </row>
    <row r="236" spans="1:9" x14ac:dyDescent="0.2">
      <c r="C236" s="8" t="s">
        <v>1</v>
      </c>
      <c r="D236" s="59">
        <v>2860.3690000000001</v>
      </c>
      <c r="E236" s="59">
        <v>2239.866</v>
      </c>
      <c r="F236" s="59">
        <v>2504.5189999999998</v>
      </c>
      <c r="G236" s="60">
        <f t="shared" si="17"/>
        <v>-12.440702580681041</v>
      </c>
      <c r="H236" s="62">
        <f t="shared" si="18"/>
        <v>9.4976943265755187E-4</v>
      </c>
      <c r="I236" s="17">
        <f t="shared" si="19"/>
        <v>0.11815572895878579</v>
      </c>
    </row>
    <row r="237" spans="1:9" x14ac:dyDescent="0.2">
      <c r="C237" s="8" t="s">
        <v>13</v>
      </c>
      <c r="D237" s="59">
        <v>557989.12100000004</v>
      </c>
      <c r="E237" s="59">
        <v>454562.96899999998</v>
      </c>
      <c r="F237" s="59">
        <v>503116.24400000001</v>
      </c>
      <c r="G237" s="60">
        <f t="shared" si="17"/>
        <v>-9.8340406532764657</v>
      </c>
      <c r="H237" s="62">
        <f t="shared" si="18"/>
        <v>0.19079289461356791</v>
      </c>
      <c r="I237" s="17">
        <f t="shared" si="19"/>
        <v>0.10681308929940569</v>
      </c>
    </row>
    <row r="238" spans="1:9" x14ac:dyDescent="0.2">
      <c r="C238" s="8" t="s">
        <v>5</v>
      </c>
      <c r="D238" s="59">
        <v>65259.696000000004</v>
      </c>
      <c r="E238" s="59">
        <v>66983.998999999996</v>
      </c>
      <c r="F238" s="59">
        <v>72700.146999999997</v>
      </c>
      <c r="G238" s="60">
        <f t="shared" si="17"/>
        <v>11.401295831963409</v>
      </c>
      <c r="H238" s="62">
        <f t="shared" si="18"/>
        <v>2.7569516290477585E-2</v>
      </c>
      <c r="I238" s="17">
        <f t="shared" si="19"/>
        <v>8.5336021816195151E-2</v>
      </c>
    </row>
    <row r="239" spans="1:9" x14ac:dyDescent="0.2">
      <c r="C239" s="8" t="s">
        <v>23</v>
      </c>
      <c r="D239" s="61">
        <v>54134</v>
      </c>
      <c r="E239" s="61">
        <v>51004.67</v>
      </c>
      <c r="F239" s="61">
        <v>53268.116000000002</v>
      </c>
      <c r="G239" s="60">
        <f t="shared" si="17"/>
        <v>-1.599519710348396</v>
      </c>
      <c r="H239" s="62">
        <f t="shared" si="18"/>
        <v>2.020045697878781E-2</v>
      </c>
      <c r="I239" s="17">
        <f t="shared" si="19"/>
        <v>4.4377230555554981E-2</v>
      </c>
    </row>
    <row r="240" spans="1:9" x14ac:dyDescent="0.2">
      <c r="C240" s="8" t="s">
        <v>28</v>
      </c>
      <c r="D240" s="59">
        <v>2137</v>
      </c>
      <c r="E240" s="59">
        <v>2241.5430000000001</v>
      </c>
      <c r="F240" s="59">
        <v>2295.9169999999999</v>
      </c>
      <c r="G240" s="60">
        <f t="shared" si="17"/>
        <v>7.4364529714552985</v>
      </c>
      <c r="H240" s="62">
        <f t="shared" si="18"/>
        <v>8.7066290434164358E-4</v>
      </c>
      <c r="I240" s="17">
        <f t="shared" si="19"/>
        <v>2.4257397694356087E-2</v>
      </c>
    </row>
    <row r="241" spans="3:9" x14ac:dyDescent="0.2">
      <c r="C241" s="8" t="s">
        <v>27</v>
      </c>
      <c r="D241" s="61">
        <v>4119.1450000000004</v>
      </c>
      <c r="E241" s="61">
        <v>5025.4480000000003</v>
      </c>
      <c r="F241" s="61">
        <v>5087.0950000000003</v>
      </c>
      <c r="G241" s="60">
        <f t="shared" si="17"/>
        <v>23.498808611981371</v>
      </c>
      <c r="H241" s="62">
        <f t="shared" si="18"/>
        <v>1.9291398196719888E-3</v>
      </c>
      <c r="I241" s="17">
        <f t="shared" si="19"/>
        <v>1.2266966049593986E-2</v>
      </c>
    </row>
    <row r="242" spans="3:9" x14ac:dyDescent="0.2">
      <c r="C242" s="8" t="s">
        <v>18</v>
      </c>
      <c r="D242" s="59">
        <v>50411.790999999997</v>
      </c>
      <c r="E242" s="59">
        <v>48160.938000000002</v>
      </c>
      <c r="F242" s="59">
        <v>48464.529000000002</v>
      </c>
      <c r="G242" s="60">
        <f t="shared" si="17"/>
        <v>-3.8627114041633548</v>
      </c>
      <c r="H242" s="62">
        <f t="shared" si="18"/>
        <v>1.8378829712350147E-2</v>
      </c>
      <c r="I242" s="17">
        <f t="shared" si="19"/>
        <v>6.3036770587816537E-3</v>
      </c>
    </row>
    <row r="243" spans="3:9" x14ac:dyDescent="0.2">
      <c r="C243" s="8" t="s">
        <v>4</v>
      </c>
      <c r="D243" s="61">
        <v>97449.789000000004</v>
      </c>
      <c r="E243" s="61">
        <v>117274.344</v>
      </c>
      <c r="F243" s="61">
        <v>117533.912</v>
      </c>
      <c r="G243" s="60">
        <f t="shared" si="17"/>
        <v>20.609714198560237</v>
      </c>
      <c r="H243" s="62">
        <f t="shared" si="18"/>
        <v>4.4571479361211731E-2</v>
      </c>
      <c r="I243" s="17">
        <f t="shared" si="19"/>
        <v>2.21334002942708E-3</v>
      </c>
    </row>
    <row r="244" spans="3:9" x14ac:dyDescent="0.2">
      <c r="C244" s="8" t="s">
        <v>21</v>
      </c>
      <c r="D244" s="61">
        <v>28031</v>
      </c>
      <c r="E244" s="61">
        <v>33808.36</v>
      </c>
      <c r="F244" s="61">
        <v>33758.521999999997</v>
      </c>
      <c r="G244" s="60">
        <f t="shared" si="17"/>
        <v>20.432813670578987</v>
      </c>
      <c r="H244" s="62">
        <f t="shared" si="18"/>
        <v>1.2801984048552829E-2</v>
      </c>
      <c r="I244" s="17">
        <f t="shared" si="19"/>
        <v>-1.4741324335165729E-3</v>
      </c>
    </row>
    <row r="245" spans="3:9" x14ac:dyDescent="0.2">
      <c r="C245" s="8" t="s">
        <v>14</v>
      </c>
      <c r="D245" s="61">
        <v>275399</v>
      </c>
      <c r="E245" s="61">
        <v>283174</v>
      </c>
      <c r="F245" s="61">
        <v>277108.5</v>
      </c>
      <c r="G245" s="60">
        <f t="shared" si="17"/>
        <v>0.6207357325189955</v>
      </c>
      <c r="H245" s="62">
        <f t="shared" si="18"/>
        <v>0.10508572018402945</v>
      </c>
      <c r="I245" s="17">
        <f t="shared" si="19"/>
        <v>-2.1419692485892039E-2</v>
      </c>
    </row>
    <row r="246" spans="3:9" x14ac:dyDescent="0.2">
      <c r="C246" s="8" t="s">
        <v>7</v>
      </c>
      <c r="D246" s="59">
        <v>33138.124000000003</v>
      </c>
      <c r="E246" s="59">
        <v>34090.000999999997</v>
      </c>
      <c r="F246" s="59">
        <v>32888.737999999998</v>
      </c>
      <c r="G246" s="60">
        <f t="shared" si="17"/>
        <v>-0.75256523272110298</v>
      </c>
      <c r="H246" s="62">
        <f t="shared" si="18"/>
        <v>1.2472142567528084E-2</v>
      </c>
      <c r="I246" s="17">
        <f t="shared" si="19"/>
        <v>-3.5237986645996311E-2</v>
      </c>
    </row>
    <row r="247" spans="3:9" x14ac:dyDescent="0.2">
      <c r="C247" s="8" t="s">
        <v>6</v>
      </c>
      <c r="D247" s="61">
        <v>149539</v>
      </c>
      <c r="E247" s="61">
        <v>169996</v>
      </c>
      <c r="F247" s="61">
        <v>163109</v>
      </c>
      <c r="G247" s="60">
        <f t="shared" si="17"/>
        <v>9.0745558014966079</v>
      </c>
      <c r="H247" s="62">
        <f t="shared" si="18"/>
        <v>6.1854568638265731E-2</v>
      </c>
      <c r="I247" s="17">
        <f t="shared" si="19"/>
        <v>-4.0512717946304622E-2</v>
      </c>
    </row>
    <row r="248" spans="3:9" x14ac:dyDescent="0.2">
      <c r="C248" s="8" t="s">
        <v>16</v>
      </c>
      <c r="D248" s="59">
        <v>52560</v>
      </c>
      <c r="E248" s="59">
        <v>51596.764999999999</v>
      </c>
      <c r="F248" s="59">
        <v>49386.925999999999</v>
      </c>
      <c r="G248" s="60">
        <f t="shared" si="17"/>
        <v>-6.0370509893455164</v>
      </c>
      <c r="H248" s="62">
        <f t="shared" si="18"/>
        <v>1.8728623215763386E-2</v>
      </c>
      <c r="I248" s="17">
        <f t="shared" si="19"/>
        <v>-4.2829022323395693E-2</v>
      </c>
    </row>
    <row r="249" spans="3:9" x14ac:dyDescent="0.2">
      <c r="C249" s="8" t="s">
        <v>3</v>
      </c>
      <c r="D249" s="61">
        <v>25116.333999999999</v>
      </c>
      <c r="E249" s="61">
        <v>33036.841</v>
      </c>
      <c r="F249" s="61">
        <v>30989.804</v>
      </c>
      <c r="G249" s="60">
        <f t="shared" si="17"/>
        <v>23.385060893042752</v>
      </c>
      <c r="H249" s="62">
        <f t="shared" si="18"/>
        <v>1.1752024465874979E-2</v>
      </c>
      <c r="I249" s="17">
        <f t="shared" si="19"/>
        <v>-6.1962249962095317E-2</v>
      </c>
    </row>
    <row r="250" spans="3:9" x14ac:dyDescent="0.2">
      <c r="C250" s="8" t="s">
        <v>22</v>
      </c>
      <c r="D250" s="61">
        <v>150079</v>
      </c>
      <c r="E250" s="61">
        <v>167091.95800000001</v>
      </c>
      <c r="F250" s="61">
        <v>156667.43299999999</v>
      </c>
      <c r="G250" s="60">
        <f t="shared" si="17"/>
        <v>4.3899766123175032</v>
      </c>
      <c r="H250" s="62">
        <f t="shared" si="18"/>
        <v>5.9411782843861449E-2</v>
      </c>
      <c r="I250" s="17">
        <f t="shared" si="19"/>
        <v>-6.238795166910438E-2</v>
      </c>
    </row>
    <row r="251" spans="3:9" x14ac:dyDescent="0.2">
      <c r="C251" s="8" t="s">
        <v>15</v>
      </c>
      <c r="D251" s="59">
        <v>278833.39199999999</v>
      </c>
      <c r="E251" s="59">
        <v>274616.239</v>
      </c>
      <c r="F251" s="59">
        <v>256570.071</v>
      </c>
      <c r="G251" s="60">
        <f t="shared" si="17"/>
        <v>-7.9844529524641716</v>
      </c>
      <c r="H251" s="62">
        <f t="shared" si="18"/>
        <v>9.7297090088187724E-2</v>
      </c>
      <c r="I251" s="17">
        <f t="shared" si="19"/>
        <v>-6.5714132804797432E-2</v>
      </c>
    </row>
    <row r="252" spans="3:9" x14ac:dyDescent="0.2">
      <c r="C252" s="8" t="s">
        <v>47</v>
      </c>
      <c r="D252" s="61">
        <v>79777</v>
      </c>
      <c r="E252" s="61">
        <v>78197.94</v>
      </c>
      <c r="F252" s="61">
        <v>71054.838000000003</v>
      </c>
      <c r="G252" s="60">
        <f t="shared" si="17"/>
        <v>-10.933178735725836</v>
      </c>
      <c r="H252" s="62">
        <f t="shared" si="18"/>
        <v>2.6945578442341332E-2</v>
      </c>
      <c r="I252" s="17">
        <f t="shared" si="19"/>
        <v>-9.1346421657654941E-2</v>
      </c>
    </row>
    <row r="253" spans="3:9" x14ac:dyDescent="0.2">
      <c r="C253" s="8" t="s">
        <v>51</v>
      </c>
      <c r="D253" s="61">
        <v>600926</v>
      </c>
      <c r="E253" s="61">
        <v>550141</v>
      </c>
      <c r="F253" s="61">
        <v>488501.902</v>
      </c>
      <c r="G253" s="60">
        <f t="shared" si="17"/>
        <v>-18.708476251651618</v>
      </c>
      <c r="H253" s="62">
        <f t="shared" si="18"/>
        <v>0.18525081036106136</v>
      </c>
      <c r="I253" s="17">
        <f t="shared" si="19"/>
        <v>-0.11204236368494624</v>
      </c>
    </row>
    <row r="254" spans="3:9" x14ac:dyDescent="0.2">
      <c r="C254" s="8" t="s">
        <v>2</v>
      </c>
      <c r="D254" s="61">
        <v>80296.399999999994</v>
      </c>
      <c r="E254" s="61">
        <v>92332.5</v>
      </c>
      <c r="F254" s="61">
        <v>80700.100000000006</v>
      </c>
      <c r="G254" s="60">
        <f t="shared" si="17"/>
        <v>0.50276226580521222</v>
      </c>
      <c r="H254" s="62">
        <f t="shared" si="18"/>
        <v>3.0603276793830559E-2</v>
      </c>
      <c r="I254" s="17">
        <f t="shared" si="19"/>
        <v>-0.1259838085181274</v>
      </c>
    </row>
    <row r="255" spans="3:9" x14ac:dyDescent="0.2">
      <c r="C255" s="8" t="s">
        <v>24</v>
      </c>
      <c r="D255" s="59">
        <v>39849</v>
      </c>
      <c r="E255" s="59">
        <v>45959.981</v>
      </c>
      <c r="F255" s="59">
        <v>36923.192000000003</v>
      </c>
      <c r="G255" s="60">
        <f t="shared" si="17"/>
        <v>-7.3422369444653519</v>
      </c>
      <c r="H255" s="62">
        <f t="shared" si="18"/>
        <v>1.4002097455737356E-2</v>
      </c>
      <c r="I255" s="17">
        <f t="shared" si="19"/>
        <v>-0.19662299251168092</v>
      </c>
    </row>
    <row r="256" spans="3:9" x14ac:dyDescent="0.2">
      <c r="C256" s="8" t="s">
        <v>19</v>
      </c>
      <c r="D256" s="59">
        <v>11823</v>
      </c>
      <c r="E256" s="59">
        <v>7523.9719999999998</v>
      </c>
      <c r="F256" s="59">
        <v>4901.1000000000004</v>
      </c>
      <c r="G256" s="60">
        <f t="shared" si="17"/>
        <v>-58.546054300938842</v>
      </c>
      <c r="H256" s="62">
        <f t="shared" si="18"/>
        <v>1.8586063696853282E-3</v>
      </c>
      <c r="I256" s="17">
        <f t="shared" si="19"/>
        <v>-0.34860204158122854</v>
      </c>
    </row>
    <row r="257" spans="3:9" x14ac:dyDescent="0.2">
      <c r="C257" s="39" t="s">
        <v>41</v>
      </c>
      <c r="D257" s="59">
        <v>18000</v>
      </c>
      <c r="E257" s="59" t="s">
        <v>44</v>
      </c>
      <c r="F257" s="59" t="s">
        <v>44</v>
      </c>
      <c r="G257" s="60" t="e">
        <f t="shared" si="15"/>
        <v>#VALUE!</v>
      </c>
      <c r="H257" s="62" t="e">
        <f t="shared" ref="H257:H270" si="20">F257/F$67</f>
        <v>#VALUE!</v>
      </c>
      <c r="I257" s="17" t="e">
        <f t="shared" si="16"/>
        <v>#VALUE!</v>
      </c>
    </row>
    <row r="258" spans="3:9" x14ac:dyDescent="0.2">
      <c r="C258" s="39" t="s">
        <v>62</v>
      </c>
      <c r="D258" s="61" t="s">
        <v>44</v>
      </c>
      <c r="E258" s="61">
        <v>100.5</v>
      </c>
      <c r="F258" s="61">
        <v>125.5</v>
      </c>
      <c r="G258" s="60" t="e">
        <f t="shared" si="15"/>
        <v>#VALUE!</v>
      </c>
      <c r="H258" s="62">
        <f t="shared" si="20"/>
        <v>4.7592397501685065E-5</v>
      </c>
      <c r="I258" s="17">
        <f t="shared" si="16"/>
        <v>0.24875621890547261</v>
      </c>
    </row>
    <row r="259" spans="3:9" x14ac:dyDescent="0.2">
      <c r="C259" s="39" t="s">
        <v>25</v>
      </c>
      <c r="D259" s="59">
        <v>133485</v>
      </c>
      <c r="E259" s="59">
        <v>146077.30600000001</v>
      </c>
      <c r="F259" s="59">
        <v>154206.48699999999</v>
      </c>
      <c r="G259" s="60">
        <f t="shared" si="15"/>
        <v>15.52345731730156</v>
      </c>
      <c r="H259" s="62">
        <f t="shared" si="20"/>
        <v>5.8478537264083107E-2</v>
      </c>
      <c r="I259" s="17">
        <f t="shared" si="16"/>
        <v>5.564985570037817E-2</v>
      </c>
    </row>
    <row r="260" spans="3:9" x14ac:dyDescent="0.2">
      <c r="C260" s="2" t="s">
        <v>11</v>
      </c>
      <c r="D260" s="64" t="s">
        <v>44</v>
      </c>
      <c r="E260" s="61" t="s">
        <v>44</v>
      </c>
      <c r="F260" s="61" t="s">
        <v>44</v>
      </c>
      <c r="G260" s="60" t="e">
        <f t="shared" si="15"/>
        <v>#VALUE!</v>
      </c>
      <c r="H260" s="62" t="e">
        <f t="shared" si="20"/>
        <v>#VALUE!</v>
      </c>
      <c r="I260" s="17" t="e">
        <f t="shared" si="16"/>
        <v>#VALUE!</v>
      </c>
    </row>
    <row r="261" spans="3:9" x14ac:dyDescent="0.2">
      <c r="C261" s="39" t="s">
        <v>46</v>
      </c>
      <c r="D261" s="59">
        <v>179084</v>
      </c>
      <c r="E261" s="59" t="s">
        <v>44</v>
      </c>
      <c r="F261" s="59" t="s">
        <v>44</v>
      </c>
      <c r="G261" s="60" t="e">
        <f t="shared" si="15"/>
        <v>#VALUE!</v>
      </c>
      <c r="H261" s="62" t="e">
        <f t="shared" si="20"/>
        <v>#VALUE!</v>
      </c>
      <c r="I261" s="17" t="e">
        <f t="shared" si="16"/>
        <v>#VALUE!</v>
      </c>
    </row>
    <row r="262" spans="3:9" x14ac:dyDescent="0.2">
      <c r="C262" s="39" t="s">
        <v>70</v>
      </c>
      <c r="D262" s="61">
        <v>5861</v>
      </c>
      <c r="E262" s="61" t="s">
        <v>44</v>
      </c>
      <c r="F262" s="61">
        <v>5697.817</v>
      </c>
      <c r="G262" s="60">
        <f t="shared" si="15"/>
        <v>-2.7842177102883503</v>
      </c>
      <c r="H262" s="62">
        <f t="shared" si="20"/>
        <v>2.1607392155845312E-3</v>
      </c>
      <c r="I262" s="17" t="e">
        <f t="shared" si="16"/>
        <v>#VALUE!</v>
      </c>
    </row>
    <row r="263" spans="3:9" x14ac:dyDescent="0.2">
      <c r="C263" s="39" t="s">
        <v>39</v>
      </c>
      <c r="D263" s="61">
        <v>6950</v>
      </c>
      <c r="E263" s="61">
        <v>6974.241</v>
      </c>
      <c r="F263" s="61">
        <v>8879.7369999999992</v>
      </c>
      <c r="G263" s="60">
        <f t="shared" si="15"/>
        <v>27.76599999999998</v>
      </c>
      <c r="H263" s="62">
        <f t="shared" si="20"/>
        <v>3.3673942072862183E-3</v>
      </c>
      <c r="I263" s="17">
        <f t="shared" si="16"/>
        <v>0.27321912162197992</v>
      </c>
    </row>
    <row r="264" spans="3:9" x14ac:dyDescent="0.2">
      <c r="C264" s="39" t="s">
        <v>40</v>
      </c>
      <c r="D264" s="61">
        <v>3809</v>
      </c>
      <c r="E264" s="61">
        <v>3216.1</v>
      </c>
      <c r="F264" s="61">
        <v>4059.4</v>
      </c>
      <c r="G264" s="60">
        <f t="shared" si="15"/>
        <v>6.5739039117878706</v>
      </c>
      <c r="H264" s="62">
        <f t="shared" si="20"/>
        <v>1.5394149674768155E-3</v>
      </c>
      <c r="I264" s="17">
        <f t="shared" si="16"/>
        <v>0.26221199589565014</v>
      </c>
    </row>
    <row r="265" spans="3:9" x14ac:dyDescent="0.2">
      <c r="C265" s="39" t="s">
        <v>64</v>
      </c>
      <c r="D265" s="59">
        <v>781</v>
      </c>
      <c r="E265" s="59">
        <v>889</v>
      </c>
      <c r="F265" s="59">
        <v>1062.8</v>
      </c>
      <c r="G265" s="60">
        <f t="shared" si="15"/>
        <v>36.081946222791281</v>
      </c>
      <c r="H265" s="62">
        <f t="shared" si="20"/>
        <v>4.0303745071546519E-4</v>
      </c>
      <c r="I265" s="17">
        <f t="shared" si="16"/>
        <v>0.19550056242969616</v>
      </c>
    </row>
    <row r="266" spans="3:9" x14ac:dyDescent="0.2">
      <c r="C266" s="39" t="s">
        <v>48</v>
      </c>
      <c r="D266" s="61">
        <v>5672</v>
      </c>
      <c r="E266" s="61">
        <v>5559.5209999999997</v>
      </c>
      <c r="F266" s="61">
        <v>6481.0739999999996</v>
      </c>
      <c r="G266" s="60">
        <f t="shared" si="15"/>
        <v>14.264351198871639</v>
      </c>
      <c r="H266" s="62">
        <f t="shared" si="20"/>
        <v>2.4577677294488924E-3</v>
      </c>
      <c r="I266" s="17">
        <f t="shared" si="16"/>
        <v>0.16576122295427975</v>
      </c>
    </row>
    <row r="267" spans="3:9" x14ac:dyDescent="0.2">
      <c r="C267" s="39" t="s">
        <v>38</v>
      </c>
      <c r="D267" s="59">
        <v>37170</v>
      </c>
      <c r="E267" s="59">
        <v>32828.355000000003</v>
      </c>
      <c r="F267" s="59">
        <v>37376.239999999998</v>
      </c>
      <c r="G267" s="60">
        <f t="shared" si="15"/>
        <v>0.55485606672047716</v>
      </c>
      <c r="H267" s="62">
        <f t="shared" si="20"/>
        <v>1.41739033561624E-2</v>
      </c>
      <c r="I267" s="17">
        <f t="shared" si="16"/>
        <v>0.13853526928169235</v>
      </c>
    </row>
    <row r="268" spans="3:9" x14ac:dyDescent="0.2">
      <c r="C268" s="39" t="s">
        <v>63</v>
      </c>
      <c r="D268" s="59" t="s">
        <v>44</v>
      </c>
      <c r="E268" s="59">
        <v>15218</v>
      </c>
      <c r="F268" s="59">
        <v>16100</v>
      </c>
      <c r="G268" s="60" t="e">
        <f t="shared" si="15"/>
        <v>#VALUE!</v>
      </c>
      <c r="H268" s="62">
        <f t="shared" si="20"/>
        <v>6.1054788826862914E-3</v>
      </c>
      <c r="I268" s="17">
        <f t="shared" si="16"/>
        <v>5.7957681692732299E-2</v>
      </c>
    </row>
    <row r="269" spans="3:9" x14ac:dyDescent="0.2">
      <c r="C269" s="39" t="s">
        <v>65</v>
      </c>
      <c r="D269" s="59">
        <v>9860</v>
      </c>
      <c r="E269" s="59">
        <v>13988.2</v>
      </c>
      <c r="F269" s="59">
        <v>14127.370999999999</v>
      </c>
      <c r="G269" s="60">
        <f t="shared" si="15"/>
        <v>43.27962474645031</v>
      </c>
      <c r="H269" s="62">
        <f t="shared" si="20"/>
        <v>5.3574139943089877E-3</v>
      </c>
      <c r="I269" s="17">
        <f t="shared" si="16"/>
        <v>9.9491714445030244E-3</v>
      </c>
    </row>
    <row r="270" spans="3:9" x14ac:dyDescent="0.2">
      <c r="C270" s="39" t="s">
        <v>72</v>
      </c>
      <c r="D270" s="61">
        <v>228977</v>
      </c>
      <c r="E270" s="61">
        <v>312917.57500000001</v>
      </c>
      <c r="F270" s="61">
        <v>314946.98499999999</v>
      </c>
      <c r="G270" s="60">
        <f t="shared" si="15"/>
        <v>37.545249086152751</v>
      </c>
      <c r="H270" s="62">
        <f t="shared" si="20"/>
        <v>0.11943491714802584</v>
      </c>
      <c r="I270" s="17">
        <f t="shared" si="16"/>
        <v>6.4854458877867671E-3</v>
      </c>
    </row>
    <row r="275" spans="2:70" x14ac:dyDescent="0.2">
      <c r="B275" s="110" t="s">
        <v>178</v>
      </c>
      <c r="C275" s="111"/>
      <c r="D275" s="111"/>
      <c r="E275" s="111"/>
      <c r="F275" s="111"/>
      <c r="G275" s="111"/>
      <c r="H275" s="111"/>
      <c r="I275" s="111"/>
      <c r="J275" s="111"/>
      <c r="K275" s="111"/>
      <c r="L275" s="111"/>
      <c r="M275" s="111"/>
      <c r="N275" s="111"/>
      <c r="O275" s="111"/>
      <c r="P275" s="111"/>
      <c r="Q275" s="111"/>
      <c r="R275" s="111"/>
      <c r="S275" s="111"/>
      <c r="T275" s="111"/>
      <c r="U275" s="111"/>
      <c r="V275" s="111"/>
      <c r="W275" s="111"/>
      <c r="X275" s="111"/>
      <c r="Y275" s="111"/>
      <c r="Z275" s="111"/>
      <c r="AA275" s="111"/>
      <c r="AB275" s="111"/>
      <c r="AC275" s="111"/>
      <c r="AD275" s="111"/>
      <c r="AE275" s="111"/>
      <c r="AF275" s="111"/>
      <c r="AG275" s="111"/>
      <c r="AH275" s="111"/>
      <c r="AI275" s="111"/>
      <c r="AJ275" s="111"/>
      <c r="AK275" s="111"/>
      <c r="AL275" s="111"/>
      <c r="AM275" s="111"/>
      <c r="AN275" s="111"/>
      <c r="AO275" s="111"/>
      <c r="AP275" s="111"/>
      <c r="AQ275" s="111"/>
      <c r="AR275" s="111"/>
      <c r="AS275" s="111"/>
      <c r="AT275" s="111"/>
      <c r="AU275" s="111"/>
      <c r="AV275" s="111"/>
      <c r="AW275" s="111"/>
      <c r="AX275" s="111"/>
      <c r="AY275" s="111"/>
      <c r="AZ275" s="111"/>
      <c r="BA275" s="111"/>
      <c r="BB275" s="111"/>
      <c r="BC275" s="111"/>
      <c r="BD275" s="111"/>
      <c r="BE275" s="111"/>
      <c r="BF275" s="111"/>
      <c r="BG275" s="111"/>
      <c r="BH275" s="111"/>
      <c r="BI275" s="111"/>
      <c r="BJ275" s="111"/>
      <c r="BK275" s="111"/>
      <c r="BL275" s="111"/>
      <c r="BM275" s="111"/>
      <c r="BN275" s="111"/>
      <c r="BO275" s="111"/>
      <c r="BP275" s="111"/>
      <c r="BQ275" s="111"/>
      <c r="BR275" s="111"/>
    </row>
    <row r="276" spans="2:70" x14ac:dyDescent="0.2">
      <c r="B276" s="110" t="s">
        <v>81</v>
      </c>
      <c r="C276" s="112" t="s">
        <v>179</v>
      </c>
      <c r="D276" s="111"/>
      <c r="E276" s="111"/>
      <c r="F276" s="111"/>
      <c r="G276" s="111"/>
      <c r="H276" s="111"/>
      <c r="I276" s="111"/>
      <c r="J276" s="111"/>
      <c r="K276" s="111"/>
      <c r="L276" s="111"/>
      <c r="M276" s="111"/>
      <c r="N276" s="111"/>
      <c r="O276" s="111"/>
      <c r="P276" s="111"/>
      <c r="Q276" s="111"/>
      <c r="R276" s="111"/>
      <c r="S276" s="111"/>
      <c r="T276" s="111"/>
      <c r="U276" s="111"/>
      <c r="V276" s="111"/>
      <c r="W276" s="111"/>
      <c r="X276" s="111"/>
      <c r="Y276" s="111"/>
      <c r="Z276" s="111"/>
      <c r="AA276" s="111"/>
      <c r="AB276" s="111"/>
      <c r="AC276" s="111"/>
      <c r="AD276" s="111"/>
      <c r="AE276" s="111"/>
      <c r="AF276" s="111"/>
      <c r="AG276" s="111"/>
      <c r="AH276" s="111"/>
      <c r="AI276" s="111"/>
      <c r="AJ276" s="111"/>
      <c r="AK276" s="111"/>
      <c r="AL276" s="111"/>
      <c r="AM276" s="111"/>
      <c r="AN276" s="111"/>
      <c r="AO276" s="111"/>
      <c r="AP276" s="111"/>
      <c r="AQ276" s="111"/>
      <c r="AR276" s="111"/>
      <c r="AS276" s="111"/>
      <c r="AT276" s="111"/>
      <c r="AU276" s="111"/>
      <c r="AV276" s="111"/>
      <c r="AW276" s="111"/>
      <c r="AX276" s="111"/>
      <c r="AY276" s="111"/>
      <c r="AZ276" s="111"/>
      <c r="BA276" s="111"/>
      <c r="BB276" s="111"/>
      <c r="BC276" s="111"/>
      <c r="BD276" s="111"/>
      <c r="BE276" s="111"/>
      <c r="BF276" s="111"/>
      <c r="BG276" s="111"/>
      <c r="BH276" s="111"/>
      <c r="BI276" s="111"/>
      <c r="BJ276" s="111"/>
      <c r="BK276" s="111"/>
      <c r="BL276" s="111"/>
      <c r="BM276" s="111"/>
      <c r="BN276" s="111"/>
      <c r="BO276" s="111"/>
      <c r="BP276" s="111"/>
      <c r="BQ276" s="111"/>
      <c r="BR276" s="111"/>
    </row>
    <row r="277" spans="2:70" x14ac:dyDescent="0.2">
      <c r="B277" s="110" t="s">
        <v>83</v>
      </c>
      <c r="C277" s="110" t="s">
        <v>180</v>
      </c>
      <c r="D277" s="111"/>
      <c r="E277" s="111"/>
      <c r="F277" s="111"/>
      <c r="G277" s="111"/>
      <c r="H277" s="111"/>
      <c r="I277" s="111"/>
      <c r="J277" s="111"/>
      <c r="K277" s="111"/>
      <c r="L277" s="111"/>
      <c r="M277" s="111"/>
      <c r="N277" s="111"/>
      <c r="O277" s="111"/>
      <c r="P277" s="111"/>
      <c r="Q277" s="111"/>
      <c r="R277" s="111"/>
      <c r="S277" s="111"/>
      <c r="T277" s="111"/>
      <c r="U277" s="111"/>
      <c r="V277" s="111"/>
      <c r="W277" s="111"/>
      <c r="X277" s="111"/>
      <c r="Y277" s="111"/>
      <c r="Z277" s="111"/>
      <c r="AA277" s="111"/>
      <c r="AB277" s="111"/>
      <c r="AC277" s="111"/>
      <c r="AD277" s="111"/>
      <c r="AE277" s="111"/>
      <c r="AF277" s="111"/>
      <c r="AG277" s="111"/>
      <c r="AH277" s="111"/>
      <c r="AI277" s="111"/>
      <c r="AJ277" s="111"/>
      <c r="AK277" s="111"/>
      <c r="AL277" s="111"/>
      <c r="AM277" s="111"/>
      <c r="AN277" s="111"/>
      <c r="AO277" s="111"/>
      <c r="AP277" s="111"/>
      <c r="AQ277" s="111"/>
      <c r="AR277" s="111"/>
      <c r="AS277" s="111"/>
      <c r="AT277" s="111"/>
      <c r="AU277" s="111"/>
      <c r="AV277" s="111"/>
      <c r="AW277" s="111"/>
      <c r="AX277" s="111"/>
      <c r="AY277" s="111"/>
      <c r="AZ277" s="111"/>
      <c r="BA277" s="111"/>
      <c r="BB277" s="111"/>
      <c r="BC277" s="111"/>
      <c r="BD277" s="111"/>
      <c r="BE277" s="111"/>
      <c r="BF277" s="111"/>
      <c r="BG277" s="111"/>
      <c r="BH277" s="111"/>
      <c r="BI277" s="111"/>
      <c r="BJ277" s="111"/>
      <c r="BK277" s="111"/>
      <c r="BL277" s="111"/>
      <c r="BM277" s="111"/>
      <c r="BN277" s="111"/>
      <c r="BO277" s="111"/>
      <c r="BP277" s="111"/>
      <c r="BQ277" s="111"/>
      <c r="BR277" s="111"/>
    </row>
    <row r="278" spans="2:70" x14ac:dyDescent="0.2">
      <c r="B278" s="111"/>
      <c r="C278" s="111"/>
      <c r="D278" s="111"/>
      <c r="E278" s="111"/>
      <c r="F278" s="111"/>
      <c r="G278" s="111"/>
      <c r="H278" s="111"/>
      <c r="I278" s="111"/>
      <c r="J278" s="111"/>
      <c r="K278" s="111"/>
      <c r="L278" s="111"/>
      <c r="M278" s="111"/>
      <c r="N278" s="111"/>
      <c r="O278" s="111"/>
      <c r="P278" s="111"/>
      <c r="Q278" s="111"/>
      <c r="R278" s="111"/>
      <c r="S278" s="111"/>
      <c r="T278" s="111"/>
      <c r="U278" s="111"/>
      <c r="V278" s="111"/>
      <c r="W278" s="111"/>
      <c r="X278" s="111"/>
      <c r="Y278" s="111"/>
      <c r="Z278" s="111"/>
      <c r="AA278" s="111"/>
      <c r="AB278" s="111"/>
      <c r="AC278" s="111"/>
      <c r="AD278" s="111"/>
      <c r="AE278" s="111"/>
      <c r="AF278" s="111"/>
      <c r="AG278" s="111"/>
      <c r="AH278" s="111"/>
      <c r="AI278" s="111"/>
      <c r="AJ278" s="111"/>
      <c r="AK278" s="111"/>
      <c r="AL278" s="111"/>
      <c r="AM278" s="111"/>
      <c r="AN278" s="111"/>
      <c r="AO278" s="111"/>
      <c r="AP278" s="111"/>
      <c r="AQ278" s="111"/>
      <c r="AR278" s="111"/>
      <c r="AS278" s="111"/>
      <c r="AT278" s="111"/>
      <c r="AU278" s="111"/>
      <c r="AV278" s="111"/>
      <c r="AW278" s="111"/>
      <c r="AX278" s="111"/>
      <c r="AY278" s="111"/>
      <c r="AZ278" s="111"/>
      <c r="BA278" s="111"/>
      <c r="BB278" s="111"/>
      <c r="BC278" s="111"/>
      <c r="BD278" s="111"/>
      <c r="BE278" s="111"/>
      <c r="BF278" s="111"/>
      <c r="BG278" s="111"/>
      <c r="BH278" s="111"/>
      <c r="BI278" s="111"/>
      <c r="BJ278" s="111"/>
      <c r="BK278" s="111"/>
      <c r="BL278" s="111"/>
      <c r="BM278" s="111"/>
      <c r="BN278" s="111"/>
      <c r="BO278" s="111"/>
      <c r="BP278" s="111"/>
      <c r="BQ278" s="111"/>
      <c r="BR278" s="111"/>
    </row>
    <row r="279" spans="2:70" x14ac:dyDescent="0.2">
      <c r="B279" s="112" t="s">
        <v>84</v>
      </c>
      <c r="C279" s="111"/>
      <c r="D279" s="110" t="s">
        <v>85</v>
      </c>
      <c r="E279" s="111"/>
      <c r="F279" s="111"/>
      <c r="G279" s="111"/>
      <c r="H279" s="111"/>
      <c r="I279" s="111"/>
      <c r="J279" s="111"/>
      <c r="K279" s="111"/>
      <c r="L279" s="111"/>
      <c r="M279" s="111"/>
      <c r="N279" s="111"/>
      <c r="O279" s="111"/>
      <c r="P279" s="111"/>
      <c r="Q279" s="111"/>
      <c r="R279" s="111"/>
      <c r="S279" s="111"/>
      <c r="T279" s="111"/>
      <c r="U279" s="111"/>
      <c r="V279" s="111"/>
      <c r="W279" s="111"/>
      <c r="X279" s="111"/>
      <c r="Y279" s="111"/>
      <c r="Z279" s="111"/>
      <c r="AA279" s="111"/>
      <c r="AB279" s="111"/>
      <c r="AC279" s="111"/>
      <c r="AD279" s="111"/>
      <c r="AE279" s="111"/>
      <c r="AF279" s="111"/>
      <c r="AG279" s="111"/>
      <c r="AH279" s="111"/>
      <c r="AI279" s="111"/>
      <c r="AJ279" s="111"/>
      <c r="AK279" s="111"/>
      <c r="AL279" s="111"/>
      <c r="AM279" s="111"/>
      <c r="AN279" s="111"/>
      <c r="AO279" s="111"/>
      <c r="AP279" s="111"/>
      <c r="AQ279" s="111"/>
      <c r="AR279" s="111"/>
      <c r="AS279" s="111"/>
      <c r="AT279" s="111"/>
      <c r="AU279" s="111"/>
      <c r="AV279" s="111"/>
      <c r="AW279" s="111"/>
      <c r="AX279" s="111"/>
      <c r="AY279" s="111"/>
      <c r="AZ279" s="111"/>
      <c r="BA279" s="111"/>
      <c r="BB279" s="111"/>
      <c r="BC279" s="111"/>
      <c r="BD279" s="111"/>
      <c r="BE279" s="111"/>
      <c r="BF279" s="111"/>
      <c r="BG279" s="111"/>
      <c r="BH279" s="111"/>
      <c r="BI279" s="111"/>
      <c r="BJ279" s="111"/>
      <c r="BK279" s="111"/>
      <c r="BL279" s="111"/>
      <c r="BM279" s="111"/>
      <c r="BN279" s="111"/>
      <c r="BO279" s="111"/>
      <c r="BP279" s="111"/>
      <c r="BQ279" s="111"/>
      <c r="BR279" s="111"/>
    </row>
    <row r="280" spans="2:70" x14ac:dyDescent="0.2">
      <c r="B280" s="112" t="s">
        <v>86</v>
      </c>
      <c r="C280" s="111"/>
      <c r="D280" s="110" t="s">
        <v>53</v>
      </c>
      <c r="E280" s="111"/>
      <c r="F280" s="111"/>
      <c r="G280" s="111"/>
      <c r="H280" s="111"/>
      <c r="I280" s="111"/>
      <c r="J280" s="111"/>
      <c r="K280" s="111"/>
      <c r="L280" s="111"/>
      <c r="M280" s="111"/>
      <c r="N280" s="111"/>
      <c r="O280" s="111"/>
      <c r="P280" s="111"/>
      <c r="Q280" s="111"/>
      <c r="R280" s="111"/>
      <c r="S280" s="111"/>
      <c r="T280" s="111"/>
      <c r="U280" s="111"/>
      <c r="V280" s="111"/>
      <c r="W280" s="111"/>
      <c r="X280" s="111"/>
      <c r="Y280" s="111"/>
      <c r="Z280" s="111"/>
      <c r="AA280" s="111"/>
      <c r="AB280" s="111"/>
      <c r="AC280" s="111"/>
      <c r="AD280" s="111"/>
      <c r="AE280" s="111"/>
      <c r="AF280" s="111"/>
      <c r="AG280" s="111"/>
      <c r="AH280" s="111"/>
      <c r="AI280" s="111"/>
      <c r="AJ280" s="111"/>
      <c r="AK280" s="111"/>
      <c r="AL280" s="111"/>
      <c r="AM280" s="111"/>
      <c r="AN280" s="111"/>
      <c r="AO280" s="111"/>
      <c r="AP280" s="111"/>
      <c r="AQ280" s="111"/>
      <c r="AR280" s="111"/>
      <c r="AS280" s="111"/>
      <c r="AT280" s="111"/>
      <c r="AU280" s="111"/>
      <c r="AV280" s="111"/>
      <c r="AW280" s="111"/>
      <c r="AX280" s="111"/>
      <c r="AY280" s="111"/>
      <c r="AZ280" s="111"/>
      <c r="BA280" s="111"/>
      <c r="BB280" s="111"/>
      <c r="BC280" s="111"/>
      <c r="BD280" s="111"/>
      <c r="BE280" s="111"/>
      <c r="BF280" s="111"/>
      <c r="BG280" s="111"/>
      <c r="BH280" s="111"/>
      <c r="BI280" s="111"/>
      <c r="BJ280" s="111"/>
      <c r="BK280" s="111"/>
      <c r="BL280" s="111"/>
      <c r="BM280" s="111"/>
      <c r="BN280" s="111"/>
      <c r="BO280" s="111"/>
      <c r="BP280" s="111"/>
      <c r="BQ280" s="111"/>
      <c r="BR280" s="111"/>
    </row>
    <row r="281" spans="2:70" x14ac:dyDescent="0.2">
      <c r="B281" s="112" t="s">
        <v>87</v>
      </c>
      <c r="C281" s="111"/>
      <c r="D281" s="110" t="s">
        <v>53</v>
      </c>
      <c r="E281" s="111"/>
      <c r="F281" s="111"/>
      <c r="G281" s="111"/>
      <c r="H281" s="111"/>
      <c r="I281" s="111"/>
      <c r="J281" s="111"/>
      <c r="K281" s="111"/>
      <c r="L281" s="111"/>
      <c r="M281" s="111"/>
      <c r="N281" s="111"/>
      <c r="O281" s="111"/>
      <c r="P281" s="111"/>
      <c r="Q281" s="111"/>
      <c r="R281" s="111"/>
      <c r="S281" s="111"/>
      <c r="T281" s="111"/>
      <c r="U281" s="111"/>
      <c r="V281" s="111"/>
      <c r="W281" s="111"/>
      <c r="X281" s="111"/>
      <c r="Y281" s="111"/>
      <c r="Z281" s="111"/>
      <c r="AA281" s="111"/>
      <c r="AB281" s="111"/>
      <c r="AC281" s="111"/>
      <c r="AD281" s="111"/>
      <c r="AE281" s="111"/>
      <c r="AF281" s="111"/>
      <c r="AG281" s="111"/>
      <c r="AH281" s="111"/>
      <c r="AI281" s="111"/>
      <c r="AJ281" s="111"/>
      <c r="AK281" s="111"/>
      <c r="AL281" s="111"/>
      <c r="AM281" s="111"/>
      <c r="AN281" s="111"/>
      <c r="AO281" s="111"/>
      <c r="AP281" s="111"/>
      <c r="AQ281" s="111"/>
      <c r="AR281" s="111"/>
      <c r="AS281" s="111"/>
      <c r="AT281" s="111"/>
      <c r="AU281" s="111"/>
      <c r="AV281" s="111"/>
      <c r="AW281" s="111"/>
      <c r="AX281" s="111"/>
      <c r="AY281" s="111"/>
      <c r="AZ281" s="111"/>
      <c r="BA281" s="111"/>
      <c r="BB281" s="111"/>
      <c r="BC281" s="111"/>
      <c r="BD281" s="111"/>
      <c r="BE281" s="111"/>
      <c r="BF281" s="111"/>
      <c r="BG281" s="111"/>
      <c r="BH281" s="111"/>
      <c r="BI281" s="111"/>
      <c r="BJ281" s="111"/>
      <c r="BK281" s="111"/>
      <c r="BL281" s="111"/>
      <c r="BM281" s="111"/>
      <c r="BN281" s="111"/>
      <c r="BO281" s="111"/>
      <c r="BP281" s="111"/>
      <c r="BQ281" s="111"/>
      <c r="BR281" s="111"/>
    </row>
    <row r="282" spans="2:70" x14ac:dyDescent="0.2">
      <c r="B282" s="112" t="s">
        <v>88</v>
      </c>
      <c r="C282" s="111"/>
      <c r="D282" s="110" t="s">
        <v>89</v>
      </c>
      <c r="E282" s="111"/>
      <c r="F282" s="111"/>
      <c r="G282" s="111"/>
      <c r="H282" s="111"/>
      <c r="I282" s="111"/>
      <c r="J282" s="111"/>
      <c r="K282" s="111"/>
      <c r="L282" s="111"/>
      <c r="M282" s="111"/>
      <c r="N282" s="111"/>
      <c r="O282" s="111"/>
      <c r="P282" s="111"/>
      <c r="Q282" s="111"/>
      <c r="R282" s="111"/>
      <c r="S282" s="111"/>
      <c r="T282" s="111"/>
      <c r="U282" s="111"/>
      <c r="V282" s="111"/>
      <c r="W282" s="111"/>
      <c r="X282" s="111"/>
      <c r="Y282" s="111"/>
      <c r="Z282" s="111"/>
      <c r="AA282" s="111"/>
      <c r="AB282" s="111"/>
      <c r="AC282" s="111"/>
      <c r="AD282" s="111"/>
      <c r="AE282" s="111"/>
      <c r="AF282" s="111"/>
      <c r="AG282" s="111"/>
      <c r="AH282" s="111"/>
      <c r="AI282" s="111"/>
      <c r="AJ282" s="111"/>
      <c r="AK282" s="111"/>
      <c r="AL282" s="111"/>
      <c r="AM282" s="111"/>
      <c r="AN282" s="111"/>
      <c r="AO282" s="111"/>
      <c r="AP282" s="111"/>
      <c r="AQ282" s="111"/>
      <c r="AR282" s="111"/>
      <c r="AS282" s="111"/>
      <c r="AT282" s="111"/>
      <c r="AU282" s="111"/>
      <c r="AV282" s="111"/>
      <c r="AW282" s="111"/>
      <c r="AX282" s="111"/>
      <c r="AY282" s="111"/>
      <c r="AZ282" s="111"/>
      <c r="BA282" s="111"/>
      <c r="BB282" s="111"/>
      <c r="BC282" s="111"/>
      <c r="BD282" s="111"/>
      <c r="BE282" s="111"/>
      <c r="BF282" s="111"/>
      <c r="BG282" s="111"/>
      <c r="BH282" s="111"/>
      <c r="BI282" s="111"/>
      <c r="BJ282" s="111"/>
      <c r="BK282" s="111"/>
      <c r="BL282" s="111"/>
      <c r="BM282" s="111"/>
      <c r="BN282" s="111"/>
      <c r="BO282" s="111"/>
      <c r="BP282" s="111"/>
      <c r="BQ282" s="111"/>
      <c r="BR282" s="111"/>
    </row>
    <row r="283" spans="2:70" x14ac:dyDescent="0.2">
      <c r="B283" s="112" t="s">
        <v>90</v>
      </c>
      <c r="C283" s="111"/>
      <c r="D283" s="110" t="s">
        <v>53</v>
      </c>
      <c r="E283" s="111"/>
      <c r="F283" s="111"/>
      <c r="G283" s="111"/>
      <c r="H283" s="111"/>
      <c r="I283" s="111"/>
      <c r="J283" s="111"/>
      <c r="K283" s="111"/>
      <c r="L283" s="111"/>
      <c r="M283" s="111"/>
      <c r="N283" s="111"/>
      <c r="O283" s="111"/>
      <c r="P283" s="111"/>
      <c r="Q283" s="111"/>
      <c r="R283" s="111"/>
      <c r="S283" s="111"/>
      <c r="T283" s="111"/>
      <c r="U283" s="111"/>
      <c r="V283" s="111"/>
      <c r="W283" s="111"/>
      <c r="X283" s="111"/>
      <c r="Y283" s="111"/>
      <c r="Z283" s="111"/>
      <c r="AA283" s="111"/>
      <c r="AB283" s="111"/>
      <c r="AC283" s="111"/>
      <c r="AD283" s="111"/>
      <c r="AE283" s="111"/>
      <c r="AF283" s="111"/>
      <c r="AG283" s="111"/>
      <c r="AH283" s="111"/>
      <c r="AI283" s="111"/>
      <c r="AJ283" s="111"/>
      <c r="AK283" s="111"/>
      <c r="AL283" s="111"/>
      <c r="AM283" s="111"/>
      <c r="AN283" s="111"/>
      <c r="AO283" s="111"/>
      <c r="AP283" s="111"/>
      <c r="AQ283" s="111"/>
      <c r="AR283" s="111"/>
      <c r="AS283" s="111"/>
      <c r="AT283" s="111"/>
      <c r="AU283" s="111"/>
      <c r="AV283" s="111"/>
      <c r="AW283" s="111"/>
      <c r="AX283" s="111"/>
      <c r="AY283" s="111"/>
      <c r="AZ283" s="111"/>
      <c r="BA283" s="111"/>
      <c r="BB283" s="111"/>
      <c r="BC283" s="111"/>
      <c r="BD283" s="111"/>
      <c r="BE283" s="111"/>
      <c r="BF283" s="111"/>
      <c r="BG283" s="111"/>
      <c r="BH283" s="111"/>
      <c r="BI283" s="111"/>
      <c r="BJ283" s="111"/>
      <c r="BK283" s="111"/>
      <c r="BL283" s="111"/>
      <c r="BM283" s="111"/>
      <c r="BN283" s="111"/>
      <c r="BO283" s="111"/>
      <c r="BP283" s="111"/>
      <c r="BQ283" s="111"/>
      <c r="BR283" s="111"/>
    </row>
    <row r="284" spans="2:70" x14ac:dyDescent="0.2">
      <c r="B284" s="112" t="s">
        <v>91</v>
      </c>
      <c r="C284" s="111"/>
      <c r="D284" s="110" t="s">
        <v>61</v>
      </c>
      <c r="E284" s="111"/>
      <c r="F284" s="111"/>
      <c r="G284" s="111"/>
      <c r="H284" s="111"/>
      <c r="I284" s="111"/>
      <c r="J284" s="111"/>
      <c r="K284" s="111"/>
      <c r="L284" s="111"/>
      <c r="M284" s="111"/>
      <c r="N284" s="111"/>
      <c r="O284" s="111"/>
      <c r="P284" s="111"/>
      <c r="Q284" s="111"/>
      <c r="R284" s="111"/>
      <c r="S284" s="111"/>
      <c r="T284" s="111"/>
      <c r="U284" s="111"/>
      <c r="V284" s="111"/>
      <c r="W284" s="111"/>
      <c r="X284" s="111"/>
      <c r="Y284" s="111"/>
      <c r="Z284" s="111"/>
      <c r="AA284" s="111"/>
      <c r="AB284" s="111"/>
      <c r="AC284" s="111"/>
      <c r="AD284" s="111"/>
      <c r="AE284" s="111"/>
      <c r="AF284" s="111"/>
      <c r="AG284" s="111"/>
      <c r="AH284" s="111"/>
      <c r="AI284" s="111"/>
      <c r="AJ284" s="111"/>
      <c r="AK284" s="111"/>
      <c r="AL284" s="111"/>
      <c r="AM284" s="111"/>
      <c r="AN284" s="111"/>
      <c r="AO284" s="111"/>
      <c r="AP284" s="111"/>
      <c r="AQ284" s="111"/>
      <c r="AR284" s="111"/>
      <c r="AS284" s="111"/>
      <c r="AT284" s="111"/>
      <c r="AU284" s="111"/>
      <c r="AV284" s="111"/>
      <c r="AW284" s="111"/>
      <c r="AX284" s="111"/>
      <c r="AY284" s="111"/>
      <c r="AZ284" s="111"/>
      <c r="BA284" s="111"/>
      <c r="BB284" s="111"/>
      <c r="BC284" s="111"/>
      <c r="BD284" s="111"/>
      <c r="BE284" s="111"/>
      <c r="BF284" s="111"/>
      <c r="BG284" s="111"/>
      <c r="BH284" s="111"/>
      <c r="BI284" s="111"/>
      <c r="BJ284" s="111"/>
      <c r="BK284" s="111"/>
      <c r="BL284" s="111"/>
      <c r="BM284" s="111"/>
      <c r="BN284" s="111"/>
      <c r="BO284" s="111"/>
      <c r="BP284" s="111"/>
      <c r="BQ284" s="111"/>
      <c r="BR284" s="111"/>
    </row>
    <row r="285" spans="2:70" x14ac:dyDescent="0.2">
      <c r="B285" s="111"/>
      <c r="C285" s="111"/>
      <c r="D285" s="111"/>
      <c r="E285" s="111"/>
      <c r="F285" s="111"/>
      <c r="G285" s="111"/>
      <c r="H285" s="111"/>
      <c r="I285" s="111"/>
      <c r="J285" s="111"/>
      <c r="K285" s="111"/>
      <c r="L285" s="111"/>
      <c r="M285" s="111"/>
      <c r="N285" s="111"/>
      <c r="O285" s="111"/>
      <c r="P285" s="111"/>
      <c r="Q285" s="111"/>
      <c r="R285" s="111"/>
      <c r="S285" s="111"/>
      <c r="T285" s="111"/>
      <c r="U285" s="111"/>
      <c r="V285" s="111"/>
      <c r="W285" s="111"/>
      <c r="X285" s="111"/>
      <c r="Y285" s="111"/>
      <c r="Z285" s="111"/>
      <c r="AA285" s="111"/>
      <c r="AB285" s="111"/>
      <c r="AC285" s="111"/>
      <c r="AD285" s="111"/>
      <c r="AE285" s="111"/>
      <c r="AF285" s="111"/>
      <c r="AG285" s="111"/>
      <c r="AH285" s="111"/>
      <c r="AI285" s="111"/>
      <c r="AJ285" s="111"/>
      <c r="AK285" s="111"/>
      <c r="AL285" s="111"/>
      <c r="AM285" s="111"/>
      <c r="AN285" s="111"/>
      <c r="AO285" s="111"/>
      <c r="AP285" s="111"/>
      <c r="AQ285" s="111"/>
      <c r="AR285" s="111"/>
      <c r="AS285" s="111"/>
      <c r="AT285" s="111"/>
      <c r="AU285" s="111"/>
      <c r="AV285" s="111"/>
      <c r="AW285" s="111"/>
      <c r="AX285" s="111"/>
      <c r="AY285" s="111"/>
      <c r="AZ285" s="111"/>
      <c r="BA285" s="111"/>
      <c r="BB285" s="111"/>
      <c r="BC285" s="111"/>
      <c r="BD285" s="111"/>
      <c r="BE285" s="111"/>
      <c r="BF285" s="111"/>
      <c r="BG285" s="111"/>
      <c r="BH285" s="111"/>
      <c r="BI285" s="111"/>
      <c r="BJ285" s="111"/>
      <c r="BK285" s="111"/>
      <c r="BL285" s="111"/>
      <c r="BM285" s="111"/>
      <c r="BN285" s="111"/>
      <c r="BO285" s="111"/>
      <c r="BP285" s="111"/>
      <c r="BQ285" s="111"/>
      <c r="BR285" s="111"/>
    </row>
    <row r="286" spans="2:70" x14ac:dyDescent="0.2">
      <c r="B286" s="113" t="s">
        <v>74</v>
      </c>
      <c r="C286" s="114" t="s">
        <v>92</v>
      </c>
      <c r="D286" s="114" t="s">
        <v>37</v>
      </c>
      <c r="E286" s="114" t="s">
        <v>93</v>
      </c>
      <c r="F286" s="114" t="s">
        <v>37</v>
      </c>
      <c r="G286" s="114" t="s">
        <v>94</v>
      </c>
      <c r="H286" s="114" t="s">
        <v>37</v>
      </c>
      <c r="I286" s="114" t="s">
        <v>95</v>
      </c>
      <c r="J286" s="114" t="s">
        <v>37</v>
      </c>
      <c r="K286" s="114" t="s">
        <v>96</v>
      </c>
      <c r="L286" s="114" t="s">
        <v>37</v>
      </c>
      <c r="M286" s="114" t="s">
        <v>97</v>
      </c>
      <c r="N286" s="114" t="s">
        <v>37</v>
      </c>
      <c r="O286" s="114" t="s">
        <v>98</v>
      </c>
      <c r="P286" s="114" t="s">
        <v>37</v>
      </c>
      <c r="Q286" s="114" t="s">
        <v>99</v>
      </c>
      <c r="R286" s="114" t="s">
        <v>37</v>
      </c>
      <c r="S286" s="114" t="s">
        <v>100</v>
      </c>
      <c r="T286" s="114" t="s">
        <v>37</v>
      </c>
      <c r="U286" s="114" t="s">
        <v>101</v>
      </c>
      <c r="V286" s="114" t="s">
        <v>37</v>
      </c>
      <c r="W286" s="114" t="s">
        <v>102</v>
      </c>
      <c r="X286" s="114" t="s">
        <v>37</v>
      </c>
      <c r="Y286" s="114" t="s">
        <v>103</v>
      </c>
      <c r="Z286" s="114" t="s">
        <v>37</v>
      </c>
      <c r="AA286" s="114" t="s">
        <v>104</v>
      </c>
      <c r="AB286" s="114" t="s">
        <v>37</v>
      </c>
      <c r="AC286" s="114" t="s">
        <v>105</v>
      </c>
      <c r="AD286" s="114" t="s">
        <v>37</v>
      </c>
      <c r="AE286" s="114" t="s">
        <v>106</v>
      </c>
      <c r="AF286" s="114" t="s">
        <v>37</v>
      </c>
      <c r="AG286" s="114" t="s">
        <v>107</v>
      </c>
      <c r="AH286" s="114" t="s">
        <v>37</v>
      </c>
      <c r="AI286" s="114" t="s">
        <v>108</v>
      </c>
      <c r="AJ286" s="114" t="s">
        <v>37</v>
      </c>
      <c r="AK286" s="114" t="s">
        <v>109</v>
      </c>
      <c r="AL286" s="114" t="s">
        <v>37</v>
      </c>
      <c r="AM286" s="114" t="s">
        <v>110</v>
      </c>
      <c r="AN286" s="114" t="s">
        <v>37</v>
      </c>
      <c r="AO286" s="114" t="s">
        <v>111</v>
      </c>
      <c r="AP286" s="114" t="s">
        <v>37</v>
      </c>
      <c r="AQ286" s="114" t="s">
        <v>112</v>
      </c>
      <c r="AR286" s="114" t="s">
        <v>37</v>
      </c>
      <c r="AS286" s="114" t="s">
        <v>75</v>
      </c>
      <c r="AT286" s="114" t="s">
        <v>37</v>
      </c>
      <c r="AU286" s="114" t="s">
        <v>113</v>
      </c>
      <c r="AV286" s="114" t="s">
        <v>37</v>
      </c>
      <c r="AW286" s="114" t="s">
        <v>114</v>
      </c>
      <c r="AX286" s="114" t="s">
        <v>37</v>
      </c>
      <c r="AY286" s="114" t="s">
        <v>115</v>
      </c>
      <c r="AZ286" s="114" t="s">
        <v>37</v>
      </c>
      <c r="BA286" s="114" t="s">
        <v>116</v>
      </c>
      <c r="BB286" s="114" t="s">
        <v>37</v>
      </c>
      <c r="BC286" s="114" t="s">
        <v>77</v>
      </c>
      <c r="BD286" s="114" t="s">
        <v>37</v>
      </c>
      <c r="BE286" s="114" t="s">
        <v>117</v>
      </c>
      <c r="BF286" s="114" t="s">
        <v>37</v>
      </c>
      <c r="BG286" s="114" t="s">
        <v>118</v>
      </c>
      <c r="BH286" s="114" t="s">
        <v>37</v>
      </c>
      <c r="BI286" s="114" t="s">
        <v>119</v>
      </c>
      <c r="BJ286" s="114" t="s">
        <v>37</v>
      </c>
      <c r="BK286" s="114" t="s">
        <v>120</v>
      </c>
      <c r="BL286" s="114" t="s">
        <v>37</v>
      </c>
      <c r="BM286" s="114" t="s">
        <v>76</v>
      </c>
      <c r="BN286" s="114" t="s">
        <v>37</v>
      </c>
      <c r="BO286" s="114" t="s">
        <v>78</v>
      </c>
      <c r="BP286" s="114" t="s">
        <v>37</v>
      </c>
      <c r="BQ286" s="114" t="s">
        <v>162</v>
      </c>
      <c r="BR286" s="114" t="s">
        <v>37</v>
      </c>
    </row>
    <row r="287" spans="2:70" x14ac:dyDescent="0.2">
      <c r="B287" s="115" t="s">
        <v>121</v>
      </c>
      <c r="C287" s="116" t="s">
        <v>37</v>
      </c>
      <c r="D287" s="116" t="s">
        <v>37</v>
      </c>
      <c r="E287" s="116" t="s">
        <v>37</v>
      </c>
      <c r="F287" s="116" t="s">
        <v>37</v>
      </c>
      <c r="G287" s="116" t="s">
        <v>37</v>
      </c>
      <c r="H287" s="116" t="s">
        <v>37</v>
      </c>
      <c r="I287" s="116" t="s">
        <v>37</v>
      </c>
      <c r="J287" s="116" t="s">
        <v>37</v>
      </c>
      <c r="K287" s="116" t="s">
        <v>37</v>
      </c>
      <c r="L287" s="116" t="s">
        <v>37</v>
      </c>
      <c r="M287" s="116" t="s">
        <v>37</v>
      </c>
      <c r="N287" s="116" t="s">
        <v>37</v>
      </c>
      <c r="O287" s="116" t="s">
        <v>37</v>
      </c>
      <c r="P287" s="116" t="s">
        <v>37</v>
      </c>
      <c r="Q287" s="116" t="s">
        <v>37</v>
      </c>
      <c r="R287" s="116" t="s">
        <v>37</v>
      </c>
      <c r="S287" s="116" t="s">
        <v>37</v>
      </c>
      <c r="T287" s="116" t="s">
        <v>37</v>
      </c>
      <c r="U287" s="116" t="s">
        <v>37</v>
      </c>
      <c r="V287" s="116" t="s">
        <v>37</v>
      </c>
      <c r="W287" s="116" t="s">
        <v>37</v>
      </c>
      <c r="X287" s="116" t="s">
        <v>37</v>
      </c>
      <c r="Y287" s="116" t="s">
        <v>37</v>
      </c>
      <c r="Z287" s="116" t="s">
        <v>37</v>
      </c>
      <c r="AA287" s="116" t="s">
        <v>37</v>
      </c>
      <c r="AB287" s="116" t="s">
        <v>37</v>
      </c>
      <c r="AC287" s="116" t="s">
        <v>37</v>
      </c>
      <c r="AD287" s="116" t="s">
        <v>37</v>
      </c>
      <c r="AE287" s="116" t="s">
        <v>37</v>
      </c>
      <c r="AF287" s="116" t="s">
        <v>37</v>
      </c>
      <c r="AG287" s="116" t="s">
        <v>37</v>
      </c>
      <c r="AH287" s="116" t="s">
        <v>37</v>
      </c>
      <c r="AI287" s="116" t="s">
        <v>37</v>
      </c>
      <c r="AJ287" s="116" t="s">
        <v>37</v>
      </c>
      <c r="AK287" s="116" t="s">
        <v>37</v>
      </c>
      <c r="AL287" s="116" t="s">
        <v>37</v>
      </c>
      <c r="AM287" s="116" t="s">
        <v>37</v>
      </c>
      <c r="AN287" s="116" t="s">
        <v>37</v>
      </c>
      <c r="AO287" s="116" t="s">
        <v>37</v>
      </c>
      <c r="AP287" s="116" t="s">
        <v>37</v>
      </c>
      <c r="AQ287" s="116" t="s">
        <v>37</v>
      </c>
      <c r="AR287" s="116" t="s">
        <v>37</v>
      </c>
      <c r="AS287" s="116" t="s">
        <v>37</v>
      </c>
      <c r="AT287" s="116" t="s">
        <v>37</v>
      </c>
      <c r="AU287" s="116" t="s">
        <v>37</v>
      </c>
      <c r="AV287" s="116" t="s">
        <v>37</v>
      </c>
      <c r="AW287" s="116" t="s">
        <v>37</v>
      </c>
      <c r="AX287" s="116" t="s">
        <v>37</v>
      </c>
      <c r="AY287" s="116" t="s">
        <v>37</v>
      </c>
      <c r="AZ287" s="116" t="s">
        <v>37</v>
      </c>
      <c r="BA287" s="116" t="s">
        <v>37</v>
      </c>
      <c r="BB287" s="116" t="s">
        <v>37</v>
      </c>
      <c r="BC287" s="116" t="s">
        <v>37</v>
      </c>
      <c r="BD287" s="116" t="s">
        <v>37</v>
      </c>
      <c r="BE287" s="116" t="s">
        <v>37</v>
      </c>
      <c r="BF287" s="116" t="s">
        <v>37</v>
      </c>
      <c r="BG287" s="116" t="s">
        <v>37</v>
      </c>
      <c r="BH287" s="116" t="s">
        <v>37</v>
      </c>
      <c r="BI287" s="116" t="s">
        <v>37</v>
      </c>
      <c r="BJ287" s="116" t="s">
        <v>37</v>
      </c>
      <c r="BK287" s="116" t="s">
        <v>37</v>
      </c>
      <c r="BL287" s="116" t="s">
        <v>37</v>
      </c>
      <c r="BM287" s="116" t="s">
        <v>37</v>
      </c>
      <c r="BN287" s="116" t="s">
        <v>37</v>
      </c>
      <c r="BO287" s="116" t="s">
        <v>37</v>
      </c>
      <c r="BP287" s="116" t="s">
        <v>37</v>
      </c>
      <c r="BQ287" s="116" t="s">
        <v>37</v>
      </c>
      <c r="BR287" s="116" t="s">
        <v>37</v>
      </c>
    </row>
    <row r="288" spans="2:70" x14ac:dyDescent="0.2">
      <c r="B288" s="117" t="s">
        <v>50</v>
      </c>
      <c r="C288" s="118">
        <v>2132426.5959999999</v>
      </c>
      <c r="D288" s="119" t="s">
        <v>37</v>
      </c>
      <c r="E288" s="118">
        <v>2173244.1209999998</v>
      </c>
      <c r="F288" s="119" t="s">
        <v>37</v>
      </c>
      <c r="G288" s="118">
        <v>2164366.0669999998</v>
      </c>
      <c r="H288" s="119" t="s">
        <v>37</v>
      </c>
      <c r="I288" s="118">
        <v>2166376.3280000002</v>
      </c>
      <c r="J288" s="119" t="s">
        <v>37</v>
      </c>
      <c r="K288" s="118">
        <v>2201616.7510000002</v>
      </c>
      <c r="L288" s="119" t="s">
        <v>37</v>
      </c>
      <c r="M288" s="118">
        <v>2268070.4679999999</v>
      </c>
      <c r="N288" s="119" t="s">
        <v>37</v>
      </c>
      <c r="O288" s="120">
        <v>2349735.06</v>
      </c>
      <c r="P288" s="119" t="s">
        <v>37</v>
      </c>
      <c r="Q288" s="118">
        <v>2363865.4279999998</v>
      </c>
      <c r="R288" s="119" t="s">
        <v>37</v>
      </c>
      <c r="S288" s="118">
        <v>2416847.4479999999</v>
      </c>
      <c r="T288" s="119" t="s">
        <v>37</v>
      </c>
      <c r="U288" s="120">
        <v>2441604.2000000002</v>
      </c>
      <c r="V288" s="119" t="s">
        <v>37</v>
      </c>
      <c r="W288" s="118">
        <v>2512624.4989999998</v>
      </c>
      <c r="X288" s="119" t="s">
        <v>37</v>
      </c>
      <c r="Y288" s="118">
        <v>2587521.2749999999</v>
      </c>
      <c r="Z288" s="119" t="s">
        <v>37</v>
      </c>
      <c r="AA288" s="118">
        <v>2606126.321</v>
      </c>
      <c r="AB288" s="119" t="s">
        <v>37</v>
      </c>
      <c r="AC288" s="120">
        <v>2684378.83</v>
      </c>
      <c r="AD288" s="119" t="s">
        <v>37</v>
      </c>
      <c r="AE288" s="118">
        <v>2755163.4210000001</v>
      </c>
      <c r="AF288" s="119" t="s">
        <v>37</v>
      </c>
      <c r="AG288" s="118">
        <v>2772062.5750000002</v>
      </c>
      <c r="AH288" s="119" t="s">
        <v>37</v>
      </c>
      <c r="AI288" s="118">
        <v>2816251.1540000001</v>
      </c>
      <c r="AJ288" s="119" t="s">
        <v>37</v>
      </c>
      <c r="AK288" s="118">
        <v>2829674.1779999998</v>
      </c>
      <c r="AL288" s="119" t="s">
        <v>37</v>
      </c>
      <c r="AM288" s="118">
        <v>2843575.3369999998</v>
      </c>
      <c r="AN288" s="119" t="s">
        <v>37</v>
      </c>
      <c r="AO288" s="118">
        <v>2696338.2680000002</v>
      </c>
      <c r="AP288" s="119" t="s">
        <v>37</v>
      </c>
      <c r="AQ288" s="118">
        <v>2831545.946</v>
      </c>
      <c r="AR288" s="119" t="s">
        <v>37</v>
      </c>
      <c r="AS288" s="118">
        <v>2788784.3569999998</v>
      </c>
      <c r="AT288" s="119" t="s">
        <v>37</v>
      </c>
      <c r="AU288" s="120">
        <v>2786990.55</v>
      </c>
      <c r="AV288" s="119" t="s">
        <v>37</v>
      </c>
      <c r="AW288" s="118">
        <v>2774281.051</v>
      </c>
      <c r="AX288" s="119" t="s">
        <v>37</v>
      </c>
      <c r="AY288" s="118">
        <v>2716869.3670000001</v>
      </c>
      <c r="AZ288" s="119" t="s">
        <v>37</v>
      </c>
      <c r="BA288" s="118">
        <v>2760985.2940000002</v>
      </c>
      <c r="BB288" s="119" t="s">
        <v>37</v>
      </c>
      <c r="BC288" s="118">
        <v>2784130.3369999998</v>
      </c>
      <c r="BD288" s="119" t="s">
        <v>37</v>
      </c>
      <c r="BE288" s="120">
        <v>2814992.24</v>
      </c>
      <c r="BF288" s="119" t="s">
        <v>37</v>
      </c>
      <c r="BG288" s="118">
        <v>2802221.8930000002</v>
      </c>
      <c r="BH288" s="119" t="s">
        <v>37</v>
      </c>
      <c r="BI288" s="118">
        <v>2775824.952</v>
      </c>
      <c r="BJ288" s="119" t="s">
        <v>37</v>
      </c>
      <c r="BK288" s="118">
        <v>2667320.6349999998</v>
      </c>
      <c r="BL288" s="119" t="s">
        <v>37</v>
      </c>
      <c r="BM288" s="118">
        <v>2788655.719</v>
      </c>
      <c r="BN288" s="119" t="s">
        <v>37</v>
      </c>
      <c r="BO288" s="120">
        <v>2698376.7</v>
      </c>
      <c r="BP288" s="119" t="s">
        <v>37</v>
      </c>
      <c r="BQ288" s="120">
        <v>2636975.79</v>
      </c>
      <c r="BR288" s="119" t="s">
        <v>37</v>
      </c>
    </row>
    <row r="289" spans="2:70" x14ac:dyDescent="0.2">
      <c r="B289" s="111"/>
      <c r="C289" s="111"/>
      <c r="D289" s="111"/>
      <c r="E289" s="111"/>
      <c r="F289" s="111"/>
      <c r="G289" s="111"/>
      <c r="H289" s="111"/>
      <c r="I289" s="111"/>
      <c r="J289" s="111"/>
      <c r="K289" s="111"/>
      <c r="L289" s="111"/>
      <c r="M289" s="111"/>
      <c r="N289" s="111"/>
      <c r="O289" s="111"/>
      <c r="P289" s="111"/>
      <c r="Q289" s="111"/>
      <c r="R289" s="111"/>
      <c r="S289" s="111"/>
      <c r="T289" s="111"/>
      <c r="U289" s="111"/>
      <c r="V289" s="111"/>
      <c r="W289" s="111"/>
      <c r="X289" s="111"/>
      <c r="Y289" s="111"/>
      <c r="Z289" s="111"/>
      <c r="AA289" s="111"/>
      <c r="AB289" s="111"/>
      <c r="AC289" s="111"/>
      <c r="AD289" s="111"/>
      <c r="AE289" s="111"/>
      <c r="AF289" s="111"/>
      <c r="AG289" s="111"/>
      <c r="AH289" s="111"/>
      <c r="AI289" s="111"/>
      <c r="AJ289" s="111"/>
      <c r="AK289" s="111"/>
      <c r="AL289" s="111"/>
      <c r="AM289" s="111"/>
      <c r="AN289" s="111"/>
      <c r="AO289" s="111"/>
      <c r="AP289" s="111"/>
      <c r="AQ289" s="111"/>
      <c r="AR289" s="111"/>
      <c r="AS289" s="111"/>
      <c r="AT289" s="111"/>
      <c r="AU289" s="111"/>
      <c r="AV289" s="111"/>
      <c r="AW289" s="111"/>
      <c r="AX289" s="111"/>
      <c r="AY289" s="111"/>
      <c r="AZ289" s="111"/>
      <c r="BA289" s="111"/>
      <c r="BB289" s="111"/>
      <c r="BC289" s="111"/>
      <c r="BD289" s="111"/>
      <c r="BE289" s="111"/>
      <c r="BF289" s="111"/>
      <c r="BG289" s="111"/>
      <c r="BH289" s="111"/>
      <c r="BI289" s="111"/>
      <c r="BJ289" s="111"/>
      <c r="BK289" s="111"/>
      <c r="BL289" s="111"/>
      <c r="BM289" s="111"/>
      <c r="BN289" s="111"/>
      <c r="BO289" s="111"/>
      <c r="BP289" s="111"/>
      <c r="BQ289" s="111"/>
      <c r="BR289" s="111"/>
    </row>
    <row r="290" spans="2:70" x14ac:dyDescent="0.2">
      <c r="B290" s="112" t="s">
        <v>132</v>
      </c>
      <c r="C290" s="111"/>
      <c r="D290" s="111"/>
      <c r="E290" s="111"/>
      <c r="F290" s="111"/>
      <c r="G290" s="111"/>
      <c r="H290" s="111"/>
      <c r="I290" s="111"/>
      <c r="J290" s="111"/>
      <c r="K290" s="111"/>
      <c r="L290" s="111"/>
      <c r="M290" s="111"/>
      <c r="N290" s="111"/>
      <c r="O290" s="111"/>
      <c r="P290" s="111"/>
      <c r="Q290" s="111"/>
      <c r="R290" s="111"/>
      <c r="S290" s="111"/>
      <c r="T290" s="111"/>
      <c r="U290" s="111"/>
      <c r="V290" s="111"/>
      <c r="W290" s="111"/>
      <c r="X290" s="111"/>
      <c r="Y290" s="111"/>
      <c r="Z290" s="111"/>
      <c r="AA290" s="111"/>
      <c r="AB290" s="111"/>
      <c r="AC290" s="111"/>
      <c r="AD290" s="111"/>
      <c r="AE290" s="111"/>
      <c r="AF290" s="111"/>
      <c r="AG290" s="111"/>
      <c r="AH290" s="111"/>
      <c r="AI290" s="111"/>
      <c r="AJ290" s="111"/>
      <c r="AK290" s="111"/>
      <c r="AL290" s="111"/>
      <c r="AM290" s="111"/>
      <c r="AN290" s="111"/>
      <c r="AO290" s="111"/>
      <c r="AP290" s="111"/>
      <c r="AQ290" s="111"/>
      <c r="AR290" s="111"/>
      <c r="AS290" s="111"/>
      <c r="AT290" s="111"/>
      <c r="AU290" s="111"/>
      <c r="AV290" s="111"/>
      <c r="AW290" s="111"/>
      <c r="AX290" s="111"/>
      <c r="AY290" s="111"/>
      <c r="AZ290" s="111"/>
      <c r="BA290" s="111"/>
      <c r="BB290" s="111"/>
      <c r="BC290" s="111"/>
      <c r="BD290" s="111"/>
      <c r="BE290" s="111"/>
      <c r="BF290" s="111"/>
      <c r="BG290" s="111"/>
      <c r="BH290" s="111"/>
      <c r="BI290" s="111"/>
      <c r="BJ290" s="111"/>
      <c r="BK290" s="111"/>
      <c r="BL290" s="111"/>
      <c r="BM290" s="111"/>
      <c r="BN290" s="111"/>
      <c r="BO290" s="111"/>
      <c r="BP290" s="111"/>
      <c r="BQ290" s="111"/>
      <c r="BR290" s="111"/>
    </row>
    <row r="291" spans="2:70" x14ac:dyDescent="0.2">
      <c r="B291" s="112" t="s">
        <v>44</v>
      </c>
      <c r="C291" s="110" t="s">
        <v>133</v>
      </c>
      <c r="D291" s="111"/>
      <c r="E291" s="111"/>
      <c r="F291" s="111"/>
      <c r="G291" s="111"/>
      <c r="H291" s="111"/>
      <c r="I291" s="111"/>
      <c r="J291" s="111"/>
      <c r="K291" s="111"/>
      <c r="L291" s="111"/>
      <c r="M291" s="111"/>
      <c r="N291" s="111"/>
      <c r="O291" s="111"/>
      <c r="P291" s="111"/>
      <c r="Q291" s="111"/>
      <c r="R291" s="111"/>
      <c r="S291" s="111"/>
      <c r="T291" s="111"/>
      <c r="U291" s="111"/>
      <c r="V291" s="111"/>
      <c r="W291" s="111"/>
      <c r="X291" s="111"/>
      <c r="Y291" s="111"/>
      <c r="Z291" s="111"/>
      <c r="AA291" s="111"/>
      <c r="AB291" s="111"/>
      <c r="AC291" s="111"/>
      <c r="AD291" s="111"/>
      <c r="AE291" s="111"/>
      <c r="AF291" s="111"/>
      <c r="AG291" s="111"/>
      <c r="AH291" s="111"/>
      <c r="AI291" s="111"/>
      <c r="AJ291" s="111"/>
      <c r="AK291" s="111"/>
      <c r="AL291" s="111"/>
      <c r="AM291" s="111"/>
      <c r="AN291" s="111"/>
      <c r="AO291" s="111"/>
      <c r="AP291" s="111"/>
      <c r="AQ291" s="111"/>
      <c r="AR291" s="111"/>
      <c r="AS291" s="111"/>
      <c r="AT291" s="111"/>
      <c r="AU291" s="111"/>
      <c r="AV291" s="111"/>
      <c r="AW291" s="111"/>
      <c r="AX291" s="111"/>
      <c r="AY291" s="111"/>
      <c r="AZ291" s="111"/>
      <c r="BA291" s="111"/>
      <c r="BB291" s="111"/>
      <c r="BC291" s="111"/>
      <c r="BD291" s="111"/>
      <c r="BE291" s="111"/>
      <c r="BF291" s="111"/>
      <c r="BG291" s="111"/>
      <c r="BH291" s="111"/>
      <c r="BI291" s="111"/>
      <c r="BJ291" s="111"/>
      <c r="BK291" s="111"/>
      <c r="BL291" s="111"/>
      <c r="BM291" s="111"/>
      <c r="BN291" s="111"/>
      <c r="BO291" s="111"/>
      <c r="BP291" s="111"/>
      <c r="BQ291" s="111"/>
      <c r="BR291" s="111"/>
    </row>
    <row r="292" spans="2:70" x14ac:dyDescent="0.2">
      <c r="B292" s="111"/>
      <c r="C292" s="111"/>
      <c r="D292" s="111"/>
      <c r="E292" s="111"/>
      <c r="F292" s="111"/>
      <c r="G292" s="111"/>
      <c r="H292" s="111"/>
      <c r="I292" s="111"/>
      <c r="J292" s="111"/>
      <c r="K292" s="111"/>
      <c r="L292" s="111"/>
      <c r="M292" s="111"/>
      <c r="N292" s="111"/>
      <c r="O292" s="111"/>
      <c r="P292" s="111"/>
      <c r="Q292" s="111"/>
      <c r="R292" s="111"/>
      <c r="S292" s="111"/>
      <c r="T292" s="111"/>
      <c r="U292" s="111"/>
      <c r="V292" s="111"/>
      <c r="W292" s="111"/>
      <c r="X292" s="111"/>
      <c r="Y292" s="111"/>
      <c r="Z292" s="111"/>
      <c r="AA292" s="111"/>
      <c r="AB292" s="111"/>
      <c r="AC292" s="111"/>
      <c r="AD292" s="111"/>
      <c r="AE292" s="111"/>
      <c r="AF292" s="111"/>
      <c r="AG292" s="111"/>
      <c r="AH292" s="111"/>
      <c r="AI292" s="111"/>
      <c r="AJ292" s="111"/>
      <c r="AK292" s="111"/>
      <c r="AL292" s="111"/>
      <c r="AM292" s="111"/>
      <c r="AN292" s="111"/>
      <c r="AO292" s="111"/>
      <c r="AP292" s="111"/>
      <c r="AQ292" s="111"/>
      <c r="AR292" s="111"/>
      <c r="AS292" s="111"/>
      <c r="AT292" s="111"/>
      <c r="AU292" s="111"/>
      <c r="AV292" s="111"/>
      <c r="AW292" s="111"/>
      <c r="AX292" s="111"/>
      <c r="AY292" s="111"/>
      <c r="AZ292" s="111"/>
      <c r="BA292" s="111"/>
      <c r="BB292" s="111"/>
      <c r="BC292" s="111"/>
      <c r="BD292" s="111"/>
      <c r="BE292" s="111"/>
      <c r="BF292" s="111"/>
      <c r="BG292" s="111"/>
      <c r="BH292" s="111"/>
      <c r="BI292" s="111"/>
      <c r="BJ292" s="111"/>
      <c r="BK292" s="111"/>
      <c r="BL292" s="111"/>
      <c r="BM292" s="111"/>
      <c r="BN292" s="111"/>
      <c r="BO292" s="111"/>
      <c r="BP292" s="111"/>
      <c r="BQ292" s="111"/>
      <c r="BR292" s="111"/>
    </row>
    <row r="293" spans="2:70" x14ac:dyDescent="0.2">
      <c r="BF293" s="17">
        <f>BQ288/AM288-1</f>
        <v>-7.2654852611699905E-2</v>
      </c>
    </row>
  </sheetData>
  <sortState xmlns:xlrd2="http://schemas.microsoft.com/office/spreadsheetml/2017/richdata2" ref="A230:AA256">
    <sortCondition descending="1" ref="I230:I256"/>
  </sortState>
  <mergeCells count="34">
    <mergeCell ref="BK286:BL286"/>
    <mergeCell ref="BM286:BN286"/>
    <mergeCell ref="BO286:BP286"/>
    <mergeCell ref="BQ286:BR286"/>
    <mergeCell ref="AY286:AZ286"/>
    <mergeCell ref="BA286:BB286"/>
    <mergeCell ref="BC286:BD286"/>
    <mergeCell ref="BE286:BF286"/>
    <mergeCell ref="BG286:BH286"/>
    <mergeCell ref="BI286:BJ286"/>
    <mergeCell ref="AM286:AN286"/>
    <mergeCell ref="AO286:AP286"/>
    <mergeCell ref="AQ286:AR286"/>
    <mergeCell ref="AS286:AT286"/>
    <mergeCell ref="AU286:AV286"/>
    <mergeCell ref="AW286:AX286"/>
    <mergeCell ref="AA286:AB286"/>
    <mergeCell ref="AC286:AD286"/>
    <mergeCell ref="AE286:AF286"/>
    <mergeCell ref="AG286:AH286"/>
    <mergeCell ref="AI286:AJ286"/>
    <mergeCell ref="AK286:AL286"/>
    <mergeCell ref="O286:P286"/>
    <mergeCell ref="Q286:R286"/>
    <mergeCell ref="S286:T286"/>
    <mergeCell ref="U286:V286"/>
    <mergeCell ref="W286:X286"/>
    <mergeCell ref="Y286:Z286"/>
    <mergeCell ref="C286:D286"/>
    <mergeCell ref="E286:F286"/>
    <mergeCell ref="G286:H286"/>
    <mergeCell ref="I286:J286"/>
    <mergeCell ref="K286:L286"/>
    <mergeCell ref="M286:N286"/>
  </mergeCells>
  <hyperlinks>
    <hyperlink ref="A54" r:id="rId1" display="https://ec.europa.eu/eurostat/databrowser/view/nrg_ind_peh__custom_12595473/default/table?lang=en" xr:uid="{8E5B0061-E0EF-4875-88B6-4215C390099B}"/>
  </hyperlinks>
  <pageMargins left="0.7" right="0.7" top="0.75" bottom="0.75" header="0.3" footer="0.3"/>
  <pageSetup paperSize="9"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0">
    <tabColor rgb="FF92D050"/>
  </sheetPr>
  <dimension ref="A1:AP93"/>
  <sheetViews>
    <sheetView showGridLines="0" topLeftCell="A66" zoomScaleNormal="100" workbookViewId="0">
      <selection activeCell="C76" sqref="C76"/>
    </sheetView>
  </sheetViews>
  <sheetFormatPr defaultColWidth="9.140625" defaultRowHeight="12.75" x14ac:dyDescent="0.2"/>
  <cols>
    <col min="1" max="1" width="22.7109375" style="9" customWidth="1"/>
    <col min="2" max="3" width="9.140625" style="9" customWidth="1"/>
    <col min="4" max="4" width="20.42578125" style="9" customWidth="1"/>
    <col min="5" max="5" width="10.140625" style="9" customWidth="1"/>
    <col min="6" max="6" width="12.42578125" style="9" bestFit="1" customWidth="1"/>
    <col min="7" max="7" width="16.42578125" style="9" bestFit="1" customWidth="1"/>
    <col min="8" max="8" width="9.140625" style="9"/>
    <col min="9" max="9" width="12.42578125" style="9" bestFit="1" customWidth="1"/>
    <col min="10" max="16384" width="9.140625" style="9"/>
  </cols>
  <sheetData>
    <row r="1" spans="1:42" x14ac:dyDescent="0.2">
      <c r="A1" s="8"/>
    </row>
    <row r="2" spans="1:42" s="10" customFormat="1" x14ac:dyDescent="0.2">
      <c r="A2" s="9"/>
    </row>
    <row r="3" spans="1:42" s="10" customFormat="1" x14ac:dyDescent="0.2">
      <c r="D3" s="10" t="s">
        <v>0</v>
      </c>
    </row>
    <row r="4" spans="1:42" s="10" customFormat="1" x14ac:dyDescent="0.2">
      <c r="D4" s="10" t="s">
        <v>34</v>
      </c>
    </row>
    <row r="5" spans="1:42" s="10" customFormat="1" x14ac:dyDescent="0.2"/>
    <row r="6" spans="1:42" s="12" customFormat="1" ht="15.75" x14ac:dyDescent="0.25">
      <c r="A6" s="11"/>
      <c r="D6" s="101" t="s">
        <v>173</v>
      </c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</row>
    <row r="7" spans="1:42" s="28" customFormat="1" ht="14.25" x14ac:dyDescent="0.2">
      <c r="D7" s="102" t="s">
        <v>43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</row>
    <row r="8" spans="1:42" s="10" customFormat="1" x14ac:dyDescent="0.2"/>
    <row r="10" spans="1:42" x14ac:dyDescent="0.2">
      <c r="D10" s="27"/>
      <c r="E10" s="27" t="s">
        <v>36</v>
      </c>
      <c r="F10" s="27" t="s">
        <v>42</v>
      </c>
    </row>
    <row r="11" spans="1:42" x14ac:dyDescent="0.2">
      <c r="A11" s="43"/>
      <c r="D11" s="92" t="s">
        <v>33</v>
      </c>
      <c r="E11" s="93">
        <v>960658.42700000003</v>
      </c>
      <c r="F11" s="51">
        <f>+E11/SUM(E$11:E$17)*100</f>
        <v>36.419303912556344</v>
      </c>
      <c r="G11" s="33">
        <f>100-F11</f>
        <v>63.580696087443656</v>
      </c>
      <c r="K11" s="19"/>
    </row>
    <row r="12" spans="1:42" x14ac:dyDescent="0.2">
      <c r="D12" s="49" t="s">
        <v>73</v>
      </c>
      <c r="E12" s="68">
        <v>587567.58600000001</v>
      </c>
      <c r="F12" s="50">
        <f t="shared" ref="F11:F17" si="0">+E12/SUM(E$11:E$17)*100</f>
        <v>22.275141592757908</v>
      </c>
      <c r="K12" s="19"/>
    </row>
    <row r="13" spans="1:42" x14ac:dyDescent="0.2">
      <c r="D13" s="49" t="s">
        <v>30</v>
      </c>
      <c r="E13" s="68">
        <v>471209.19500000001</v>
      </c>
      <c r="F13" s="50">
        <f t="shared" si="0"/>
        <v>17.863905001788972</v>
      </c>
      <c r="K13" s="19"/>
    </row>
    <row r="14" spans="1:42" x14ac:dyDescent="0.2">
      <c r="D14" s="49" t="s">
        <v>49</v>
      </c>
      <c r="E14" s="68">
        <v>356395.09600000002</v>
      </c>
      <c r="F14" s="50">
        <f t="shared" si="0"/>
        <v>13.51121371485007</v>
      </c>
      <c r="K14" s="19"/>
    </row>
    <row r="15" spans="1:42" x14ac:dyDescent="0.2">
      <c r="D15" s="49" t="s">
        <v>29</v>
      </c>
      <c r="E15" s="68">
        <v>249292.31</v>
      </c>
      <c r="F15" s="50">
        <f t="shared" si="0"/>
        <v>9.4508642674439471</v>
      </c>
      <c r="K15" s="19"/>
    </row>
    <row r="16" spans="1:42" x14ac:dyDescent="0.2">
      <c r="D16" s="49" t="s">
        <v>31</v>
      </c>
      <c r="E16" s="68">
        <v>5773.2359999999999</v>
      </c>
      <c r="F16" s="50">
        <f t="shared" si="0"/>
        <v>0.21886784161100284</v>
      </c>
      <c r="K16" s="19"/>
    </row>
    <row r="17" spans="1:11" x14ac:dyDescent="0.2">
      <c r="D17" s="69" t="s">
        <v>32</v>
      </c>
      <c r="E17" s="70">
        <v>6876.77</v>
      </c>
      <c r="F17" s="71">
        <f t="shared" si="0"/>
        <v>0.26070366899175718</v>
      </c>
      <c r="K17" s="19"/>
    </row>
    <row r="18" spans="1:11" x14ac:dyDescent="0.2">
      <c r="D18" s="10"/>
      <c r="E18" s="32"/>
      <c r="F18" s="18"/>
      <c r="G18" s="18"/>
      <c r="K18" s="19"/>
    </row>
    <row r="19" spans="1:11" ht="16.149999999999999" customHeight="1" x14ac:dyDescent="0.2">
      <c r="D19" s="15" t="s">
        <v>148</v>
      </c>
      <c r="E19" s="32"/>
      <c r="K19" s="19"/>
    </row>
    <row r="20" spans="1:11" x14ac:dyDescent="0.2">
      <c r="A20" s="10" t="s">
        <v>35</v>
      </c>
      <c r="K20" s="19"/>
    </row>
    <row r="21" spans="1:11" x14ac:dyDescent="0.2">
      <c r="A21" s="36" t="s">
        <v>80</v>
      </c>
      <c r="K21" s="19"/>
    </row>
    <row r="22" spans="1:11" x14ac:dyDescent="0.2">
      <c r="K22" s="19"/>
    </row>
    <row r="24" spans="1:11" x14ac:dyDescent="0.2">
      <c r="F24" s="38"/>
    </row>
    <row r="25" spans="1:11" x14ac:dyDescent="0.2">
      <c r="F25" s="38"/>
    </row>
    <row r="26" spans="1:11" x14ac:dyDescent="0.2">
      <c r="F26" s="38"/>
    </row>
    <row r="27" spans="1:11" x14ac:dyDescent="0.2">
      <c r="F27" s="38"/>
    </row>
    <row r="28" spans="1:11" x14ac:dyDescent="0.2">
      <c r="F28" s="38"/>
    </row>
    <row r="29" spans="1:11" x14ac:dyDescent="0.2">
      <c r="F29" s="38"/>
    </row>
    <row r="30" spans="1:11" x14ac:dyDescent="0.2">
      <c r="F30" s="38"/>
    </row>
    <row r="31" spans="1:11" x14ac:dyDescent="0.2">
      <c r="F31" s="38"/>
    </row>
    <row r="32" spans="1:11" x14ac:dyDescent="0.2">
      <c r="F32" s="38"/>
    </row>
    <row r="33" spans="6:6" x14ac:dyDescent="0.2">
      <c r="F33" s="38"/>
    </row>
    <row r="62" spans="1:6" x14ac:dyDescent="0.2">
      <c r="E62" s="72"/>
      <c r="F62" s="72"/>
    </row>
    <row r="63" spans="1:6" x14ac:dyDescent="0.2">
      <c r="A63" s="39" t="s">
        <v>172</v>
      </c>
      <c r="B63" s="23"/>
      <c r="C63" s="23"/>
      <c r="D63" s="23"/>
    </row>
    <row r="64" spans="1:6" x14ac:dyDescent="0.2">
      <c r="A64" s="39" t="s">
        <v>81</v>
      </c>
      <c r="B64" s="40" t="s">
        <v>134</v>
      </c>
      <c r="C64" s="40"/>
      <c r="D64" s="23"/>
    </row>
    <row r="65" spans="1:11" x14ac:dyDescent="0.2">
      <c r="A65" s="39" t="s">
        <v>83</v>
      </c>
      <c r="B65" s="107">
        <v>45897.958333333336</v>
      </c>
      <c r="C65" s="39"/>
      <c r="D65" s="23"/>
    </row>
    <row r="66" spans="1:11" x14ac:dyDescent="0.2">
      <c r="A66" s="23"/>
      <c r="B66" s="23"/>
      <c r="C66" s="23"/>
      <c r="D66" s="23"/>
    </row>
    <row r="67" spans="1:11" x14ac:dyDescent="0.2">
      <c r="A67" s="40" t="s">
        <v>84</v>
      </c>
      <c r="B67" s="23"/>
      <c r="C67" s="23"/>
      <c r="D67" s="39" t="s">
        <v>85</v>
      </c>
    </row>
    <row r="68" spans="1:11" x14ac:dyDescent="0.2">
      <c r="A68" s="40" t="s">
        <v>86</v>
      </c>
      <c r="B68" s="23"/>
      <c r="C68" s="23"/>
      <c r="D68" s="39" t="s">
        <v>53</v>
      </c>
    </row>
    <row r="69" spans="1:11" x14ac:dyDescent="0.2">
      <c r="A69" s="40" t="s">
        <v>87</v>
      </c>
      <c r="B69" s="23"/>
      <c r="C69" s="23"/>
      <c r="D69" s="39" t="s">
        <v>53</v>
      </c>
    </row>
    <row r="70" spans="1:11" x14ac:dyDescent="0.2">
      <c r="A70" s="40" t="s">
        <v>88</v>
      </c>
      <c r="B70" s="23"/>
      <c r="C70" s="23"/>
      <c r="D70" s="39" t="s">
        <v>89</v>
      </c>
    </row>
    <row r="71" spans="1:11" x14ac:dyDescent="0.2">
      <c r="A71" s="40" t="s">
        <v>91</v>
      </c>
      <c r="B71" s="23"/>
      <c r="C71" s="23"/>
      <c r="D71" s="39" t="s">
        <v>61</v>
      </c>
    </row>
    <row r="72" spans="1:11" x14ac:dyDescent="0.2">
      <c r="A72" s="40" t="s">
        <v>123</v>
      </c>
      <c r="B72" s="23"/>
      <c r="C72" s="23"/>
      <c r="D72" s="39" t="s">
        <v>50</v>
      </c>
    </row>
    <row r="73" spans="1:11" x14ac:dyDescent="0.2">
      <c r="A73" s="23"/>
      <c r="B73" s="23"/>
      <c r="C73" s="23"/>
      <c r="D73" s="23"/>
    </row>
    <row r="74" spans="1:11" x14ac:dyDescent="0.2">
      <c r="A74" s="6" t="s">
        <v>74</v>
      </c>
      <c r="B74" s="6">
        <v>2013</v>
      </c>
      <c r="C74" s="6" t="s">
        <v>138</v>
      </c>
      <c r="D74" s="6">
        <v>2023</v>
      </c>
      <c r="E74" s="6" t="s">
        <v>138</v>
      </c>
    </row>
    <row r="75" spans="1:11" x14ac:dyDescent="0.2">
      <c r="A75" s="2" t="s">
        <v>53</v>
      </c>
      <c r="B75" s="59">
        <v>2774281.051</v>
      </c>
      <c r="C75" s="59">
        <v>100</v>
      </c>
      <c r="D75" s="59">
        <v>2636975.79</v>
      </c>
      <c r="E75" s="73">
        <v>100</v>
      </c>
      <c r="G75" s="9" t="s">
        <v>158</v>
      </c>
      <c r="H75" s="32">
        <f>+D77+D79+D80</f>
        <v>1076896.601</v>
      </c>
      <c r="I75" s="9" t="s">
        <v>159</v>
      </c>
      <c r="J75" s="18">
        <f>+H75*100/D75</f>
        <v>40.838319603988481</v>
      </c>
      <c r="K75" s="9" t="s">
        <v>160</v>
      </c>
    </row>
    <row r="76" spans="1:11" x14ac:dyDescent="0.2">
      <c r="A76" s="2" t="s">
        <v>33</v>
      </c>
      <c r="B76" s="61">
        <v>1316533.0179999999</v>
      </c>
      <c r="C76" s="74">
        <f>+B76/$B$75</f>
        <v>0.47454925935692444</v>
      </c>
      <c r="D76" s="61">
        <v>960658.42700000003</v>
      </c>
      <c r="E76" s="74">
        <f>+D76/$D$75</f>
        <v>0.36430308941137451</v>
      </c>
      <c r="H76" s="32"/>
    </row>
    <row r="77" spans="1:11" x14ac:dyDescent="0.2">
      <c r="A77" s="2" t="s">
        <v>49</v>
      </c>
      <c r="B77" s="59">
        <v>390226.72899999999</v>
      </c>
      <c r="C77" s="74">
        <f t="shared" ref="C77:C83" si="1">+B77/$B$75</f>
        <v>0.14065868663859463</v>
      </c>
      <c r="D77" s="59">
        <v>356395.09600000002</v>
      </c>
      <c r="E77" s="74">
        <f t="shared" ref="E77:E83" si="2">+D77/$D$75</f>
        <v>0.13515296475285427</v>
      </c>
    </row>
    <row r="78" spans="1:11" x14ac:dyDescent="0.2">
      <c r="A78" s="2" t="s">
        <v>31</v>
      </c>
      <c r="B78" s="61">
        <v>5644.509</v>
      </c>
      <c r="C78" s="74">
        <f t="shared" si="1"/>
        <v>2.0345844188949117E-3</v>
      </c>
      <c r="D78" s="61">
        <v>5773.2359999999999</v>
      </c>
      <c r="E78" s="74">
        <f t="shared" si="2"/>
        <v>2.1893397815381534E-3</v>
      </c>
      <c r="F78" s="32"/>
    </row>
    <row r="79" spans="1:11" x14ac:dyDescent="0.2">
      <c r="A79" s="2" t="s">
        <v>30</v>
      </c>
      <c r="B79" s="59">
        <v>206937.823</v>
      </c>
      <c r="C79" s="74">
        <f t="shared" si="1"/>
        <v>7.4591513691595335E-2</v>
      </c>
      <c r="D79" s="59">
        <v>471209.19500000001</v>
      </c>
      <c r="E79" s="74">
        <f t="shared" si="2"/>
        <v>0.17869303039752216</v>
      </c>
    </row>
    <row r="80" spans="1:11" x14ac:dyDescent="0.2">
      <c r="A80" s="2" t="s">
        <v>29</v>
      </c>
      <c r="B80" s="61">
        <v>83269.985000000001</v>
      </c>
      <c r="C80" s="74">
        <f t="shared" si="1"/>
        <v>3.0014978103961393E-2</v>
      </c>
      <c r="D80" s="61">
        <v>249292.31</v>
      </c>
      <c r="E80" s="74">
        <f t="shared" si="2"/>
        <v>9.4537200889508358E-2</v>
      </c>
    </row>
    <row r="81" spans="1:5" x14ac:dyDescent="0.2">
      <c r="A81" s="2" t="s">
        <v>124</v>
      </c>
      <c r="B81" s="59">
        <v>408.50700000000001</v>
      </c>
      <c r="C81" s="74">
        <f t="shared" si="1"/>
        <v>1.4724787881629806E-4</v>
      </c>
      <c r="D81" s="59">
        <v>455.274</v>
      </c>
      <c r="E81" s="74">
        <f t="shared" si="2"/>
        <v>1.7265004924447942E-4</v>
      </c>
    </row>
    <row r="82" spans="1:5" x14ac:dyDescent="0.2">
      <c r="A82" s="2" t="s">
        <v>126</v>
      </c>
      <c r="B82" s="59">
        <v>766956.68700000003</v>
      </c>
      <c r="C82" s="74">
        <f t="shared" si="1"/>
        <v>0.27645241159814993</v>
      </c>
      <c r="D82" s="59">
        <v>587567.58600000001</v>
      </c>
      <c r="E82" s="74">
        <f t="shared" si="2"/>
        <v>0.22281872599217151</v>
      </c>
    </row>
    <row r="83" spans="1:5" x14ac:dyDescent="0.2">
      <c r="A83" s="75" t="s">
        <v>137</v>
      </c>
      <c r="B83" s="32">
        <f>+B93</f>
        <v>4371.7929999999997</v>
      </c>
      <c r="C83" s="74">
        <f t="shared" si="1"/>
        <v>1.5758291678574421E-3</v>
      </c>
      <c r="D83" s="32">
        <f>+D93</f>
        <v>6876.77</v>
      </c>
      <c r="E83" s="74">
        <f t="shared" si="2"/>
        <v>2.6078244730491063E-3</v>
      </c>
    </row>
    <row r="84" spans="1:5" x14ac:dyDescent="0.2">
      <c r="B84" s="32"/>
      <c r="C84" s="32"/>
      <c r="D84" s="32"/>
    </row>
    <row r="85" spans="1:5" x14ac:dyDescent="0.2">
      <c r="B85" s="32"/>
      <c r="C85" s="32"/>
      <c r="D85" s="32"/>
    </row>
    <row r="86" spans="1:5" x14ac:dyDescent="0.2">
      <c r="A86" s="10" t="s">
        <v>135</v>
      </c>
      <c r="B86" s="32">
        <v>2013</v>
      </c>
      <c r="C86" s="32"/>
      <c r="D86" s="32">
        <v>2023</v>
      </c>
    </row>
    <row r="87" spans="1:5" x14ac:dyDescent="0.2">
      <c r="A87" s="2" t="s">
        <v>125</v>
      </c>
      <c r="B87" s="61" t="s">
        <v>44</v>
      </c>
      <c r="C87" s="61"/>
      <c r="D87" s="61" t="s">
        <v>44</v>
      </c>
    </row>
    <row r="88" spans="1:5" x14ac:dyDescent="0.2">
      <c r="A88" s="2" t="s">
        <v>127</v>
      </c>
      <c r="B88" s="61" t="s">
        <v>44</v>
      </c>
      <c r="C88" s="61"/>
      <c r="D88" s="61" t="s">
        <v>44</v>
      </c>
    </row>
    <row r="89" spans="1:5" x14ac:dyDescent="0.2">
      <c r="A89" s="2" t="s">
        <v>128</v>
      </c>
      <c r="B89" s="59">
        <v>68</v>
      </c>
      <c r="C89" s="59"/>
      <c r="D89" s="59">
        <v>322.334</v>
      </c>
    </row>
    <row r="90" spans="1:5" x14ac:dyDescent="0.2">
      <c r="A90" s="2" t="s">
        <v>129</v>
      </c>
      <c r="B90" s="61">
        <v>989.56600000000003</v>
      </c>
      <c r="C90" s="61"/>
      <c r="D90" s="61">
        <v>608.63199999999995</v>
      </c>
    </row>
    <row r="91" spans="1:5" x14ac:dyDescent="0.2">
      <c r="A91" s="2" t="s">
        <v>130</v>
      </c>
      <c r="B91" s="59">
        <v>3314.2269999999999</v>
      </c>
      <c r="C91" s="59"/>
      <c r="D91" s="59">
        <v>5016.0339999999997</v>
      </c>
    </row>
    <row r="92" spans="1:5" x14ac:dyDescent="0.2">
      <c r="A92" s="2" t="s">
        <v>131</v>
      </c>
      <c r="B92" s="61">
        <v>0</v>
      </c>
      <c r="C92" s="61"/>
      <c r="D92" s="61">
        <v>929.77</v>
      </c>
    </row>
    <row r="93" spans="1:5" x14ac:dyDescent="0.2">
      <c r="A93" s="75" t="s">
        <v>136</v>
      </c>
      <c r="B93" s="32">
        <f>SUM(B89:B92)</f>
        <v>4371.7929999999997</v>
      </c>
      <c r="C93" s="32"/>
      <c r="D93" s="32">
        <f>SUM(D89:D92)</f>
        <v>6876.77</v>
      </c>
    </row>
  </sheetData>
  <sortState xmlns:xlrd2="http://schemas.microsoft.com/office/spreadsheetml/2017/richdata2" ref="D11:F17">
    <sortCondition descending="1" ref="E11"/>
  </sortState>
  <phoneticPr fontId="1" type="noConversion"/>
  <hyperlinks>
    <hyperlink ref="A21" r:id="rId1" display="https://ec.europa.eu/eurostat/databrowser/view/NRG_IND_PEH__custom_12597594/default/table?lang=en" xr:uid="{E08993DA-BAAB-4762-8D90-AC8663395D30}"/>
  </hyperlinks>
  <pageMargins left="0.75" right="0.75" top="1" bottom="1" header="0.5" footer="0.5"/>
  <pageSetup paperSize="150" orientation="portrait" horizontalDpi="2400" verticalDpi="2400" r:id="rId2"/>
  <headerFooter alignWithMargins="0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8">
    <tabColor rgb="FF92D050"/>
  </sheetPr>
  <dimension ref="A1:AH154"/>
  <sheetViews>
    <sheetView showGridLines="0" topLeftCell="B18" zoomScaleNormal="100" workbookViewId="0">
      <selection activeCell="D11" sqref="D11"/>
    </sheetView>
  </sheetViews>
  <sheetFormatPr defaultColWidth="9.140625" defaultRowHeight="12.75" x14ac:dyDescent="0.2"/>
  <cols>
    <col min="1" max="1" width="9.140625" style="9" customWidth="1"/>
    <col min="2" max="2" width="13.85546875" style="9" customWidth="1"/>
    <col min="3" max="3" width="12.28515625" style="9" customWidth="1"/>
    <col min="4" max="4" width="10.7109375" style="9" customWidth="1"/>
    <col min="5" max="5" width="15.42578125" style="9" bestFit="1" customWidth="1"/>
    <col min="6" max="6" width="10.85546875" style="9" customWidth="1"/>
    <col min="7" max="8" width="9.140625" style="9"/>
    <col min="9" max="14" width="17.42578125" style="9" customWidth="1"/>
    <col min="15" max="16384" width="9.140625" style="9"/>
  </cols>
  <sheetData>
    <row r="1" spans="1:34" x14ac:dyDescent="0.2">
      <c r="A1" s="8"/>
    </row>
    <row r="2" spans="1:34" s="10" customFormat="1" x14ac:dyDescent="0.2">
      <c r="A2" s="9"/>
    </row>
    <row r="3" spans="1:34" s="10" customFormat="1" x14ac:dyDescent="0.2">
      <c r="C3" s="10" t="s">
        <v>0</v>
      </c>
    </row>
    <row r="4" spans="1:34" s="10" customFormat="1" ht="16.149999999999999" customHeight="1" x14ac:dyDescent="0.2">
      <c r="C4" s="10" t="s">
        <v>34</v>
      </c>
      <c r="I4" s="97" t="s">
        <v>149</v>
      </c>
    </row>
    <row r="5" spans="1:34" s="10" customFormat="1" x14ac:dyDescent="0.2"/>
    <row r="6" spans="1:34" s="12" customFormat="1" ht="15.75" x14ac:dyDescent="0.25">
      <c r="A6" s="11"/>
      <c r="C6" s="101" t="s">
        <v>176</v>
      </c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</row>
    <row r="7" spans="1:34" s="28" customFormat="1" ht="14.25" x14ac:dyDescent="0.2">
      <c r="A7" s="96"/>
      <c r="C7" s="102" t="s">
        <v>177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</row>
    <row r="8" spans="1:34" x14ac:dyDescent="0.2">
      <c r="G8" s="1"/>
    </row>
    <row r="9" spans="1:34" x14ac:dyDescent="0.2">
      <c r="G9" s="15"/>
    </row>
    <row r="10" spans="1:34" x14ac:dyDescent="0.2">
      <c r="C10" s="100"/>
      <c r="D10" s="100" t="s">
        <v>175</v>
      </c>
      <c r="E10" s="48"/>
    </row>
    <row r="11" spans="1:34" x14ac:dyDescent="0.2">
      <c r="C11" s="98" t="s">
        <v>69</v>
      </c>
      <c r="D11" s="99">
        <v>-3.3278112337884691</v>
      </c>
    </row>
    <row r="12" spans="1:34" x14ac:dyDescent="0.2">
      <c r="C12" s="94"/>
      <c r="D12" s="92"/>
      <c r="E12" s="47"/>
    </row>
    <row r="13" spans="1:34" x14ac:dyDescent="0.2">
      <c r="C13" s="95" t="s">
        <v>28</v>
      </c>
      <c r="D13" s="77">
        <v>63.616091954023005</v>
      </c>
      <c r="E13" s="14"/>
    </row>
    <row r="14" spans="1:34" x14ac:dyDescent="0.2">
      <c r="B14" s="76"/>
      <c r="C14" s="95" t="s">
        <v>9</v>
      </c>
      <c r="D14" s="77">
        <v>26.314803344688762</v>
      </c>
      <c r="E14" s="14"/>
    </row>
    <row r="15" spans="1:34" x14ac:dyDescent="0.2">
      <c r="B15" s="76"/>
      <c r="C15" s="95" t="s">
        <v>20</v>
      </c>
      <c r="D15" s="77">
        <v>24.214959983373706</v>
      </c>
      <c r="E15" s="14"/>
    </row>
    <row r="16" spans="1:34" x14ac:dyDescent="0.2">
      <c r="B16" s="76"/>
      <c r="C16" s="95" t="s">
        <v>17</v>
      </c>
      <c r="D16" s="77">
        <v>21.470474720185262</v>
      </c>
      <c r="E16" s="14"/>
    </row>
    <row r="17" spans="2:5" x14ac:dyDescent="0.2">
      <c r="B17" s="76"/>
      <c r="C17" s="95" t="s">
        <v>21</v>
      </c>
      <c r="D17" s="77">
        <v>18.620689655172406</v>
      </c>
      <c r="E17" s="14"/>
    </row>
    <row r="18" spans="2:5" x14ac:dyDescent="0.2">
      <c r="B18" s="76"/>
      <c r="C18" s="95" t="s">
        <v>23</v>
      </c>
      <c r="D18" s="77">
        <v>18.449905482041594</v>
      </c>
      <c r="E18" s="14"/>
    </row>
    <row r="19" spans="2:5" x14ac:dyDescent="0.2">
      <c r="B19" s="76"/>
      <c r="C19" s="95" t="s">
        <v>5</v>
      </c>
      <c r="D19" s="77">
        <v>18.413610524606128</v>
      </c>
      <c r="E19" s="14"/>
    </row>
    <row r="20" spans="2:5" x14ac:dyDescent="0.2">
      <c r="B20" s="76"/>
      <c r="C20" s="95" t="s">
        <v>24</v>
      </c>
      <c r="D20" s="77">
        <v>17.849617258176753</v>
      </c>
      <c r="E20" s="14"/>
    </row>
    <row r="21" spans="2:5" x14ac:dyDescent="0.2">
      <c r="B21" s="76"/>
      <c r="C21" s="95" t="s">
        <v>18</v>
      </c>
      <c r="D21" s="77">
        <v>16.842896460093005</v>
      </c>
      <c r="E21" s="14"/>
    </row>
    <row r="22" spans="2:5" x14ac:dyDescent="0.2">
      <c r="B22" s="76"/>
      <c r="C22" s="95" t="s">
        <v>47</v>
      </c>
      <c r="D22" s="77">
        <v>15.99077747989277</v>
      </c>
      <c r="E22" s="14"/>
    </row>
    <row r="23" spans="2:5" x14ac:dyDescent="0.2">
      <c r="B23" s="76"/>
      <c r="C23" s="95" t="s">
        <v>27</v>
      </c>
      <c r="D23" s="77">
        <v>10.053799596503033</v>
      </c>
      <c r="E23" s="14"/>
    </row>
    <row r="24" spans="2:5" x14ac:dyDescent="0.2">
      <c r="B24" s="76"/>
      <c r="C24" s="95" t="s">
        <v>22</v>
      </c>
      <c r="D24" s="77">
        <v>5.1689929328621931</v>
      </c>
      <c r="E24" s="14"/>
    </row>
    <row r="25" spans="2:5" x14ac:dyDescent="0.2">
      <c r="B25" s="76"/>
      <c r="C25" s="95" t="s">
        <v>1</v>
      </c>
      <c r="D25" s="77">
        <v>2.9517396184062905</v>
      </c>
      <c r="E25" s="14"/>
    </row>
    <row r="26" spans="2:5" x14ac:dyDescent="0.2">
      <c r="B26" s="76"/>
      <c r="C26" s="95" t="s">
        <v>3</v>
      </c>
      <c r="D26" s="77">
        <v>2.9434280889389264</v>
      </c>
      <c r="E26" s="14"/>
    </row>
    <row r="27" spans="2:5" x14ac:dyDescent="0.2">
      <c r="B27" s="76"/>
      <c r="C27" s="95" t="s">
        <v>8</v>
      </c>
      <c r="D27" s="77">
        <v>2.6917712691771234</v>
      </c>
      <c r="E27" s="14"/>
    </row>
    <row r="28" spans="2:5" x14ac:dyDescent="0.2">
      <c r="B28" s="76"/>
      <c r="C28" s="95" t="s">
        <v>19</v>
      </c>
      <c r="D28" s="77">
        <v>1.6961167466034155</v>
      </c>
      <c r="E28" s="14"/>
    </row>
    <row r="29" spans="2:5" x14ac:dyDescent="0.2">
      <c r="B29" s="76"/>
      <c r="C29" s="95" t="s">
        <v>26</v>
      </c>
      <c r="D29" s="77">
        <v>1.469657548695591</v>
      </c>
      <c r="E29" s="14"/>
    </row>
    <row r="30" spans="2:5" x14ac:dyDescent="0.2">
      <c r="B30" s="76"/>
      <c r="C30" s="95" t="s">
        <v>12</v>
      </c>
      <c r="D30" s="77">
        <v>-5.3297344102234963</v>
      </c>
      <c r="E30" s="14"/>
    </row>
    <row r="31" spans="2:5" x14ac:dyDescent="0.2">
      <c r="B31" s="76"/>
      <c r="C31" s="95" t="s">
        <v>14</v>
      </c>
      <c r="D31" s="77">
        <v>-5.3828854176773078</v>
      </c>
      <c r="E31" s="14"/>
    </row>
    <row r="32" spans="2:5" x14ac:dyDescent="0.2">
      <c r="B32" s="76"/>
      <c r="C32" s="95" t="s">
        <v>13</v>
      </c>
      <c r="D32" s="77">
        <v>-5.9768194505010808</v>
      </c>
      <c r="E32" s="14"/>
    </row>
    <row r="33" spans="2:7" x14ac:dyDescent="0.2">
      <c r="B33" s="76"/>
      <c r="C33" s="95" t="s">
        <v>4</v>
      </c>
      <c r="D33" s="77">
        <v>-6.8669117647058853</v>
      </c>
      <c r="E33" s="14"/>
    </row>
    <row r="34" spans="2:7" x14ac:dyDescent="0.2">
      <c r="B34" s="76"/>
      <c r="C34" s="95" t="s">
        <v>7</v>
      </c>
      <c r="D34" s="77">
        <v>-7.4703309029725107</v>
      </c>
      <c r="E34" s="14"/>
    </row>
    <row r="35" spans="2:7" x14ac:dyDescent="0.2">
      <c r="B35" s="76"/>
      <c r="C35" s="95" t="s">
        <v>10</v>
      </c>
      <c r="D35" s="77">
        <v>-8.7214741483857665</v>
      </c>
      <c r="E35" s="14"/>
    </row>
    <row r="36" spans="2:7" x14ac:dyDescent="0.2">
      <c r="B36" s="76"/>
      <c r="C36" s="95" t="s">
        <v>15</v>
      </c>
      <c r="D36" s="77">
        <v>-9.0888194189040039</v>
      </c>
      <c r="E36" s="14"/>
    </row>
    <row r="37" spans="2:7" x14ac:dyDescent="0.2">
      <c r="B37" s="76"/>
      <c r="C37" s="95" t="s">
        <v>6</v>
      </c>
      <c r="D37" s="77">
        <v>-10.339912052767753</v>
      </c>
      <c r="E37" s="14"/>
      <c r="F37" s="78"/>
      <c r="G37" s="78"/>
    </row>
    <row r="38" spans="2:7" x14ac:dyDescent="0.2">
      <c r="B38" s="76"/>
      <c r="C38" s="95" t="s">
        <v>16</v>
      </c>
      <c r="D38" s="77">
        <v>-13.27944514501892</v>
      </c>
      <c r="E38" s="14"/>
    </row>
    <row r="39" spans="2:7" x14ac:dyDescent="0.2">
      <c r="B39" s="76"/>
      <c r="C39" s="95" t="s">
        <v>2</v>
      </c>
      <c r="D39" s="77">
        <v>-17.430968519981704</v>
      </c>
      <c r="E39" s="14"/>
    </row>
    <row r="40" spans="2:7" x14ac:dyDescent="0.2">
      <c r="B40" s="76"/>
      <c r="C40" s="94"/>
      <c r="D40" s="77"/>
      <c r="E40" s="14"/>
    </row>
    <row r="41" spans="2:7" x14ac:dyDescent="0.2">
      <c r="B41" s="76"/>
      <c r="C41" s="95" t="s">
        <v>25</v>
      </c>
      <c r="D41" s="77">
        <v>-0.14592048821747694</v>
      </c>
      <c r="E41" s="14"/>
    </row>
    <row r="42" spans="2:7" x14ac:dyDescent="0.2">
      <c r="B42" s="76"/>
      <c r="C42" s="94"/>
      <c r="D42" s="77"/>
      <c r="E42" s="14"/>
    </row>
    <row r="43" spans="2:7" x14ac:dyDescent="0.2">
      <c r="B43" s="76"/>
      <c r="C43" s="95" t="s">
        <v>72</v>
      </c>
      <c r="D43" s="79">
        <v>45.738430579026932</v>
      </c>
      <c r="E43" s="14"/>
    </row>
    <row r="44" spans="2:7" x14ac:dyDescent="0.2">
      <c r="B44" s="76"/>
      <c r="C44" s="95" t="s">
        <v>65</v>
      </c>
      <c r="D44" s="79">
        <v>22.049689440993792</v>
      </c>
      <c r="E44" s="14"/>
    </row>
    <row r="45" spans="2:7" x14ac:dyDescent="0.2">
      <c r="B45" s="76"/>
      <c r="C45" s="95" t="s">
        <v>70</v>
      </c>
      <c r="D45" s="77">
        <v>17.342069741282341</v>
      </c>
      <c r="E45" s="14"/>
    </row>
    <row r="46" spans="2:7" x14ac:dyDescent="0.2">
      <c r="B46" s="76"/>
      <c r="C46" s="95" t="s">
        <v>40</v>
      </c>
      <c r="D46" s="77">
        <v>14.675019577133908</v>
      </c>
      <c r="E46" s="14"/>
    </row>
    <row r="47" spans="2:7" x14ac:dyDescent="0.2">
      <c r="B47" s="76"/>
      <c r="C47" s="95" t="s">
        <v>64</v>
      </c>
      <c r="D47" s="77">
        <v>3.6002482929857305</v>
      </c>
      <c r="E47" s="14"/>
    </row>
    <row r="48" spans="2:7" x14ac:dyDescent="0.2">
      <c r="B48" s="76"/>
      <c r="C48" s="95" t="s">
        <v>48</v>
      </c>
      <c r="D48" s="77">
        <v>-2.2665252854812468</v>
      </c>
      <c r="E48" s="14"/>
    </row>
    <row r="49" spans="1:7" x14ac:dyDescent="0.2">
      <c r="B49" s="76"/>
      <c r="C49" s="95" t="s">
        <v>38</v>
      </c>
      <c r="D49" s="77">
        <v>-8.0431782836137504</v>
      </c>
      <c r="E49" s="14"/>
    </row>
    <row r="50" spans="1:7" x14ac:dyDescent="0.2">
      <c r="B50" s="76"/>
      <c r="C50" s="95" t="s">
        <v>39</v>
      </c>
      <c r="D50" s="77">
        <v>-14.915544041450769</v>
      </c>
      <c r="E50" s="14"/>
    </row>
    <row r="51" spans="1:7" x14ac:dyDescent="0.2">
      <c r="B51" s="76"/>
      <c r="C51" s="95"/>
      <c r="D51" s="77"/>
      <c r="E51" s="14"/>
    </row>
    <row r="52" spans="1:7" x14ac:dyDescent="0.2">
      <c r="B52" s="76"/>
      <c r="C52" s="80"/>
      <c r="D52" s="81"/>
    </row>
    <row r="53" spans="1:7" ht="15" customHeight="1" x14ac:dyDescent="0.2">
      <c r="B53" s="76"/>
      <c r="C53" s="23"/>
      <c r="D53" s="77"/>
    </row>
    <row r="54" spans="1:7" x14ac:dyDescent="0.2">
      <c r="A54" s="10"/>
      <c r="C54" s="10" t="s">
        <v>35</v>
      </c>
    </row>
    <row r="55" spans="1:7" x14ac:dyDescent="0.2">
      <c r="A55" s="36"/>
      <c r="C55" s="36" t="s">
        <v>80</v>
      </c>
    </row>
    <row r="57" spans="1:7" x14ac:dyDescent="0.2">
      <c r="A57" s="24"/>
      <c r="B57" s="23"/>
      <c r="C57" s="24" t="s">
        <v>67</v>
      </c>
      <c r="D57" s="23"/>
      <c r="E57" s="23"/>
      <c r="F57" s="23"/>
      <c r="G57" s="23"/>
    </row>
    <row r="58" spans="1:7" x14ac:dyDescent="0.2">
      <c r="A58" s="23"/>
      <c r="B58" s="23"/>
      <c r="C58" s="23"/>
      <c r="D58" s="23"/>
      <c r="E58" s="23"/>
      <c r="F58" s="23"/>
      <c r="G58" s="23"/>
    </row>
    <row r="59" spans="1:7" x14ac:dyDescent="0.2">
      <c r="A59" s="24"/>
      <c r="B59" s="82"/>
      <c r="C59" s="24" t="s">
        <v>55</v>
      </c>
      <c r="D59" s="82"/>
      <c r="E59" s="107">
        <v>45890.958333333336</v>
      </c>
      <c r="F59" s="23"/>
      <c r="G59" s="23"/>
    </row>
    <row r="60" spans="1:7" x14ac:dyDescent="0.2">
      <c r="A60" s="39"/>
      <c r="B60" s="82"/>
      <c r="C60" s="39" t="s">
        <v>174</v>
      </c>
      <c r="D60" s="82"/>
      <c r="E60" s="23"/>
      <c r="F60" s="23"/>
      <c r="G60" s="23"/>
    </row>
    <row r="61" spans="1:7" x14ac:dyDescent="0.2">
      <c r="A61" s="24"/>
      <c r="B61" s="24"/>
      <c r="C61" s="24" t="s">
        <v>56</v>
      </c>
      <c r="D61" s="24" t="s">
        <v>57</v>
      </c>
      <c r="E61" s="23"/>
      <c r="F61" s="23"/>
      <c r="G61" s="23"/>
    </row>
    <row r="62" spans="1:7" x14ac:dyDescent="0.2">
      <c r="A62" s="23"/>
      <c r="B62" s="23"/>
      <c r="C62" s="23"/>
      <c r="D62" s="23"/>
      <c r="E62" s="23"/>
      <c r="F62" s="23"/>
      <c r="G62" s="23"/>
    </row>
    <row r="63" spans="1:7" x14ac:dyDescent="0.2">
      <c r="A63" s="24"/>
      <c r="B63" s="24"/>
      <c r="C63" s="24" t="s">
        <v>58</v>
      </c>
      <c r="D63" s="24" t="s">
        <v>68</v>
      </c>
      <c r="E63" s="23"/>
      <c r="F63" s="23"/>
      <c r="G63" s="23"/>
    </row>
    <row r="64" spans="1:7" x14ac:dyDescent="0.2">
      <c r="A64" s="24"/>
      <c r="B64" s="24"/>
      <c r="C64" s="24" t="s">
        <v>59</v>
      </c>
      <c r="D64" s="24" t="s">
        <v>66</v>
      </c>
      <c r="E64" s="23"/>
      <c r="F64" s="23"/>
      <c r="G64" s="23"/>
    </row>
    <row r="65" spans="1:7" x14ac:dyDescent="0.2">
      <c r="A65" s="24"/>
      <c r="B65" s="24"/>
      <c r="C65" s="24" t="s">
        <v>60</v>
      </c>
      <c r="D65" s="24" t="s">
        <v>61</v>
      </c>
      <c r="E65" s="23"/>
      <c r="F65" s="23"/>
      <c r="G65" s="23"/>
    </row>
    <row r="66" spans="1:7" x14ac:dyDescent="0.2">
      <c r="A66" s="23"/>
      <c r="B66" s="23"/>
      <c r="C66" s="23"/>
      <c r="D66" s="23"/>
      <c r="E66" s="23"/>
      <c r="F66" s="23"/>
      <c r="G66" s="23"/>
    </row>
    <row r="67" spans="1:7" x14ac:dyDescent="0.2">
      <c r="A67" s="24"/>
      <c r="B67" s="24"/>
      <c r="C67" s="24" t="s">
        <v>74</v>
      </c>
      <c r="D67" s="24">
        <v>2013</v>
      </c>
      <c r="E67" s="24">
        <v>2023</v>
      </c>
      <c r="F67" s="23"/>
      <c r="G67" s="23" t="s">
        <v>143</v>
      </c>
    </row>
    <row r="68" spans="1:7" x14ac:dyDescent="0.2">
      <c r="A68" s="24"/>
      <c r="B68" s="83"/>
      <c r="C68" s="24" t="s">
        <v>50</v>
      </c>
      <c r="D68" s="83">
        <v>715279.87399999995</v>
      </c>
      <c r="E68" s="83">
        <v>691476.71</v>
      </c>
      <c r="F68" s="84">
        <f t="shared" ref="F68:F104" si="0">E68/D68-1</f>
        <v>-3.3278112337884691E-2</v>
      </c>
      <c r="G68" s="85">
        <f t="shared" ref="G68:G86" si="1">F68*100</f>
        <v>-3.3278112337884691</v>
      </c>
    </row>
    <row r="69" spans="1:7" x14ac:dyDescent="0.2">
      <c r="A69" s="24"/>
      <c r="B69" s="83"/>
      <c r="C69" s="24" t="s">
        <v>2</v>
      </c>
      <c r="D69" s="83">
        <v>19237.599999999999</v>
      </c>
      <c r="E69" s="83">
        <v>15884.3</v>
      </c>
      <c r="F69" s="84">
        <f t="shared" si="0"/>
        <v>-0.17430968519981704</v>
      </c>
      <c r="G69" s="85">
        <f t="shared" si="1"/>
        <v>-17.430968519981704</v>
      </c>
    </row>
    <row r="70" spans="1:7" x14ac:dyDescent="0.2">
      <c r="A70" s="24"/>
      <c r="B70" s="83"/>
      <c r="C70" s="24" t="s">
        <v>24</v>
      </c>
      <c r="D70" s="83">
        <v>10537</v>
      </c>
      <c r="E70" s="83">
        <v>12311.736000000001</v>
      </c>
      <c r="F70" s="84">
        <f t="shared" si="0"/>
        <v>0.16842896460093004</v>
      </c>
      <c r="G70" s="85">
        <f t="shared" si="1"/>
        <v>16.842896460093005</v>
      </c>
    </row>
    <row r="71" spans="1:7" x14ac:dyDescent="0.2">
      <c r="A71" s="24"/>
      <c r="B71" s="83"/>
      <c r="C71" s="24" t="s">
        <v>47</v>
      </c>
      <c r="D71" s="83">
        <v>14716</v>
      </c>
      <c r="E71" s="83">
        <v>15476.669</v>
      </c>
      <c r="F71" s="84">
        <f t="shared" si="0"/>
        <v>5.1689929328621931E-2</v>
      </c>
      <c r="G71" s="85">
        <f t="shared" si="1"/>
        <v>5.1689929328621931</v>
      </c>
    </row>
    <row r="72" spans="1:7" x14ac:dyDescent="0.2">
      <c r="A72" s="24"/>
      <c r="B72" s="83"/>
      <c r="C72" s="24" t="s">
        <v>7</v>
      </c>
      <c r="D72" s="83">
        <v>10307</v>
      </c>
      <c r="E72" s="83">
        <v>9752.1859999999997</v>
      </c>
      <c r="F72" s="84">
        <f t="shared" si="0"/>
        <v>-5.3828854176773078E-2</v>
      </c>
      <c r="G72" s="85">
        <f t="shared" si="1"/>
        <v>-5.3828854176773078</v>
      </c>
    </row>
    <row r="73" spans="1:7" x14ac:dyDescent="0.2">
      <c r="A73" s="24"/>
      <c r="B73" s="83"/>
      <c r="C73" s="24" t="s">
        <v>51</v>
      </c>
      <c r="D73" s="83">
        <v>136000</v>
      </c>
      <c r="E73" s="83">
        <v>126661</v>
      </c>
      <c r="F73" s="84">
        <f t="shared" si="0"/>
        <v>-6.8669117647058853E-2</v>
      </c>
      <c r="G73" s="85">
        <f t="shared" si="1"/>
        <v>-6.8669117647058853</v>
      </c>
    </row>
    <row r="74" spans="1:7" x14ac:dyDescent="0.2">
      <c r="A74" s="24"/>
      <c r="B74" s="83"/>
      <c r="C74" s="24" t="s">
        <v>19</v>
      </c>
      <c r="D74" s="83">
        <v>1865</v>
      </c>
      <c r="E74" s="83">
        <v>2163.2280000000001</v>
      </c>
      <c r="F74" s="84">
        <f t="shared" si="0"/>
        <v>0.1599077747989277</v>
      </c>
      <c r="G74" s="85">
        <f t="shared" si="1"/>
        <v>15.99077747989277</v>
      </c>
    </row>
    <row r="75" spans="1:7" x14ac:dyDescent="0.2">
      <c r="A75" s="24"/>
      <c r="B75" s="83"/>
      <c r="C75" s="24" t="s">
        <v>3</v>
      </c>
      <c r="D75" s="83">
        <v>7947.7430000000004</v>
      </c>
      <c r="E75" s="83">
        <v>8082.5460000000003</v>
      </c>
      <c r="F75" s="84">
        <f t="shared" si="0"/>
        <v>1.6961167466034155E-2</v>
      </c>
      <c r="G75" s="85">
        <f t="shared" si="1"/>
        <v>1.6961167466034155</v>
      </c>
    </row>
    <row r="76" spans="1:7" x14ac:dyDescent="0.2">
      <c r="A76" s="24"/>
      <c r="B76" s="83"/>
      <c r="C76" s="24" t="s">
        <v>16</v>
      </c>
      <c r="D76" s="83">
        <v>17446</v>
      </c>
      <c r="E76" s="83">
        <v>15129.268</v>
      </c>
      <c r="F76" s="84">
        <f t="shared" si="0"/>
        <v>-0.1327944514501892</v>
      </c>
      <c r="G76" s="85">
        <f t="shared" si="1"/>
        <v>-13.27944514501892</v>
      </c>
    </row>
    <row r="77" spans="1:7" x14ac:dyDescent="0.2">
      <c r="A77" s="24"/>
      <c r="B77" s="83"/>
      <c r="C77" s="24" t="s">
        <v>14</v>
      </c>
      <c r="D77" s="83">
        <v>71060</v>
      </c>
      <c r="E77" s="83">
        <v>73151.600000000006</v>
      </c>
      <c r="F77" s="84">
        <f t="shared" si="0"/>
        <v>2.9434280889389264E-2</v>
      </c>
      <c r="G77" s="85">
        <f t="shared" si="1"/>
        <v>2.9434280889389264</v>
      </c>
    </row>
    <row r="78" spans="1:7" x14ac:dyDescent="0.2">
      <c r="A78" s="24"/>
      <c r="B78" s="83"/>
      <c r="C78" s="24" t="s">
        <v>13</v>
      </c>
      <c r="D78" s="83">
        <v>168129.22500000001</v>
      </c>
      <c r="E78" s="83">
        <v>150744.81099999999</v>
      </c>
      <c r="F78" s="84">
        <f t="shared" si="0"/>
        <v>-0.10339912052767752</v>
      </c>
      <c r="G78" s="85">
        <f t="shared" si="1"/>
        <v>-10.339912052767753</v>
      </c>
    </row>
    <row r="79" spans="1:7" x14ac:dyDescent="0.2">
      <c r="A79" s="24"/>
      <c r="B79" s="83"/>
      <c r="C79" s="24" t="s">
        <v>26</v>
      </c>
      <c r="D79" s="83">
        <v>6237</v>
      </c>
      <c r="E79" s="83">
        <v>6421.1</v>
      </c>
      <c r="F79" s="84">
        <f t="shared" si="0"/>
        <v>2.9517396184062905E-2</v>
      </c>
      <c r="G79" s="85">
        <f t="shared" si="1"/>
        <v>2.9517396184062905</v>
      </c>
    </row>
    <row r="80" spans="1:7" x14ac:dyDescent="0.2">
      <c r="A80" s="24"/>
      <c r="B80" s="83"/>
      <c r="C80" s="24" t="s">
        <v>15</v>
      </c>
      <c r="D80" s="83">
        <v>66983</v>
      </c>
      <c r="E80" s="83">
        <v>63412.983999999997</v>
      </c>
      <c r="F80" s="84">
        <f t="shared" si="0"/>
        <v>-5.3297344102234967E-2</v>
      </c>
      <c r="G80" s="85">
        <f t="shared" si="1"/>
        <v>-5.3297344102234963</v>
      </c>
    </row>
    <row r="81" spans="1:7" x14ac:dyDescent="0.2">
      <c r="A81" s="24"/>
      <c r="B81" s="83"/>
      <c r="C81" s="24" t="s">
        <v>27</v>
      </c>
      <c r="D81" s="83">
        <v>1437</v>
      </c>
      <c r="E81" s="83">
        <v>1693.499</v>
      </c>
      <c r="F81" s="84">
        <f t="shared" si="0"/>
        <v>0.17849617258176753</v>
      </c>
      <c r="G81" s="85">
        <f t="shared" si="1"/>
        <v>17.849617258176753</v>
      </c>
    </row>
    <row r="82" spans="1:7" x14ac:dyDescent="0.2">
      <c r="A82" s="24"/>
      <c r="B82" s="83"/>
      <c r="C82" s="24" t="s">
        <v>10</v>
      </c>
      <c r="D82" s="83">
        <v>1783</v>
      </c>
      <c r="E82" s="83">
        <v>1649.8040000000001</v>
      </c>
      <c r="F82" s="84">
        <f t="shared" si="0"/>
        <v>-7.4703309029725107E-2</v>
      </c>
      <c r="G82" s="85">
        <f t="shared" si="1"/>
        <v>-7.4703309029725107</v>
      </c>
    </row>
    <row r="83" spans="1:7" x14ac:dyDescent="0.2">
      <c r="A83" s="24"/>
      <c r="B83" s="83"/>
      <c r="C83" s="24" t="s">
        <v>9</v>
      </c>
      <c r="D83" s="83">
        <v>2591</v>
      </c>
      <c r="E83" s="83">
        <v>3147.3</v>
      </c>
      <c r="F83" s="84">
        <f t="shared" si="0"/>
        <v>0.21470474720185262</v>
      </c>
      <c r="G83" s="85">
        <f t="shared" si="1"/>
        <v>21.470474720185262</v>
      </c>
    </row>
    <row r="84" spans="1:7" x14ac:dyDescent="0.2">
      <c r="A84" s="24"/>
      <c r="B84" s="83"/>
      <c r="C84" s="24" t="s">
        <v>1</v>
      </c>
      <c r="D84" s="83">
        <v>979.18299999999999</v>
      </c>
      <c r="E84" s="83">
        <v>920.65899999999999</v>
      </c>
      <c r="F84" s="84">
        <f t="shared" si="0"/>
        <v>-5.9768194505010808E-2</v>
      </c>
      <c r="G84" s="85">
        <f t="shared" si="1"/>
        <v>-5.9768194505010808</v>
      </c>
    </row>
    <row r="85" spans="1:7" x14ac:dyDescent="0.2">
      <c r="A85" s="24"/>
      <c r="B85" s="83"/>
      <c r="C85" s="24" t="s">
        <v>21</v>
      </c>
      <c r="D85" s="83">
        <v>10580</v>
      </c>
      <c r="E85" s="83">
        <v>12532</v>
      </c>
      <c r="F85" s="84">
        <f t="shared" si="0"/>
        <v>0.18449905482041595</v>
      </c>
      <c r="G85" s="85">
        <f t="shared" si="1"/>
        <v>18.449905482041594</v>
      </c>
    </row>
    <row r="86" spans="1:7" x14ac:dyDescent="0.2">
      <c r="A86" s="24"/>
      <c r="B86" s="83"/>
      <c r="C86" s="24" t="s">
        <v>28</v>
      </c>
      <c r="D86" s="83">
        <v>609</v>
      </c>
      <c r="E86" s="83">
        <v>996.42200000000003</v>
      </c>
      <c r="F86" s="84">
        <f t="shared" si="0"/>
        <v>0.63616091954023002</v>
      </c>
      <c r="G86" s="85">
        <f t="shared" si="1"/>
        <v>63.616091954023005</v>
      </c>
    </row>
    <row r="87" spans="1:7" x14ac:dyDescent="0.2">
      <c r="A87" s="24"/>
      <c r="B87" s="83"/>
      <c r="C87" s="24" t="s">
        <v>4</v>
      </c>
      <c r="D87" s="83">
        <v>23360.958999999999</v>
      </c>
      <c r="E87" s="83">
        <v>21323.539000000001</v>
      </c>
      <c r="F87" s="84">
        <f t="shared" si="0"/>
        <v>-8.7214741483857661E-2</v>
      </c>
      <c r="G87" s="85">
        <f t="shared" ref="G87:G104" si="2">F87*100</f>
        <v>-8.7214741483857665</v>
      </c>
    </row>
    <row r="88" spans="1:7" x14ac:dyDescent="0.2">
      <c r="A88" s="24"/>
      <c r="B88" s="83"/>
      <c r="C88" s="24" t="s">
        <v>5</v>
      </c>
      <c r="D88" s="83">
        <v>17649.164000000001</v>
      </c>
      <c r="E88" s="83">
        <v>21922.901999999998</v>
      </c>
      <c r="F88" s="84">
        <f t="shared" si="0"/>
        <v>0.24214959983373707</v>
      </c>
      <c r="G88" s="85">
        <f t="shared" si="2"/>
        <v>24.214959983373706</v>
      </c>
    </row>
    <row r="89" spans="1:7" x14ac:dyDescent="0.2">
      <c r="A89" s="24"/>
      <c r="B89" s="83"/>
      <c r="C89" s="24" t="s">
        <v>22</v>
      </c>
      <c r="D89" s="83">
        <v>28442</v>
      </c>
      <c r="E89" s="83">
        <v>28860</v>
      </c>
      <c r="F89" s="84">
        <f t="shared" si="0"/>
        <v>1.469657548695591E-2</v>
      </c>
      <c r="G89" s="85">
        <f t="shared" si="2"/>
        <v>1.469657548695591</v>
      </c>
    </row>
    <row r="90" spans="1:7" x14ac:dyDescent="0.2">
      <c r="A90" s="24"/>
      <c r="B90" s="83"/>
      <c r="C90" s="24" t="s">
        <v>18</v>
      </c>
      <c r="D90" s="83">
        <v>12314</v>
      </c>
      <c r="E90" s="83">
        <v>14581.451999999999</v>
      </c>
      <c r="F90" s="84">
        <f t="shared" si="0"/>
        <v>0.18413610524606128</v>
      </c>
      <c r="G90" s="85">
        <f t="shared" si="2"/>
        <v>18.413610524606128</v>
      </c>
    </row>
    <row r="91" spans="1:7" x14ac:dyDescent="0.2">
      <c r="A91" s="24"/>
      <c r="B91" s="83"/>
      <c r="C91" s="24" t="s">
        <v>23</v>
      </c>
      <c r="D91" s="83">
        <v>11896</v>
      </c>
      <c r="E91" s="83">
        <v>13092</v>
      </c>
      <c r="F91" s="84">
        <f t="shared" si="0"/>
        <v>0.10053799596503032</v>
      </c>
      <c r="G91" s="85">
        <f t="shared" si="2"/>
        <v>10.053799596503033</v>
      </c>
    </row>
    <row r="92" spans="1:7" x14ac:dyDescent="0.2">
      <c r="A92" s="24"/>
      <c r="B92" s="83"/>
      <c r="C92" s="24" t="s">
        <v>17</v>
      </c>
      <c r="D92" s="83">
        <v>3229</v>
      </c>
      <c r="E92" s="83">
        <v>4078.7049999999999</v>
      </c>
      <c r="F92" s="84">
        <f t="shared" si="0"/>
        <v>0.26314803344688764</v>
      </c>
      <c r="G92" s="85">
        <f t="shared" si="2"/>
        <v>26.314803344688762</v>
      </c>
    </row>
    <row r="93" spans="1:7" x14ac:dyDescent="0.2">
      <c r="A93" s="24"/>
      <c r="B93" s="83"/>
      <c r="C93" s="24" t="s">
        <v>20</v>
      </c>
      <c r="D93" s="83">
        <v>4930</v>
      </c>
      <c r="E93" s="83">
        <v>5848</v>
      </c>
      <c r="F93" s="84">
        <f t="shared" si="0"/>
        <v>0.18620689655172407</v>
      </c>
      <c r="G93" s="85">
        <f t="shared" si="2"/>
        <v>18.620689655172406</v>
      </c>
    </row>
    <row r="94" spans="1:7" x14ac:dyDescent="0.2">
      <c r="A94" s="24"/>
      <c r="B94" s="83"/>
      <c r="C94" s="24" t="s">
        <v>8</v>
      </c>
      <c r="D94" s="83">
        <v>21510</v>
      </c>
      <c r="E94" s="83">
        <v>22089</v>
      </c>
      <c r="F94" s="84">
        <f t="shared" si="0"/>
        <v>2.6917712691771234E-2</v>
      </c>
      <c r="G94" s="85">
        <f t="shared" si="2"/>
        <v>2.6917712691771234</v>
      </c>
    </row>
    <row r="95" spans="1:7" x14ac:dyDescent="0.2">
      <c r="A95" s="24"/>
      <c r="B95" s="83"/>
      <c r="C95" s="24" t="s">
        <v>6</v>
      </c>
      <c r="D95" s="83">
        <v>43504</v>
      </c>
      <c r="E95" s="83">
        <v>39550</v>
      </c>
      <c r="F95" s="84">
        <f t="shared" si="0"/>
        <v>-9.0888194189040039E-2</v>
      </c>
      <c r="G95" s="85">
        <f t="shared" si="2"/>
        <v>-9.0888194189040039</v>
      </c>
    </row>
    <row r="96" spans="1:7" x14ac:dyDescent="0.2">
      <c r="A96" s="24"/>
      <c r="B96" s="63"/>
      <c r="C96" s="24" t="s">
        <v>25</v>
      </c>
      <c r="D96" s="63">
        <v>38902.008000000002</v>
      </c>
      <c r="E96" s="63">
        <v>38845.241999999998</v>
      </c>
      <c r="F96" s="84">
        <f t="shared" si="0"/>
        <v>-1.4592048821747694E-3</v>
      </c>
      <c r="G96" s="85">
        <f t="shared" si="2"/>
        <v>-0.14592048821747694</v>
      </c>
    </row>
    <row r="97" spans="1:7" x14ac:dyDescent="0.2">
      <c r="A97" s="24"/>
      <c r="B97" s="63"/>
      <c r="C97" s="24" t="s">
        <v>40</v>
      </c>
      <c r="D97" s="63">
        <v>1277</v>
      </c>
      <c r="E97" s="63">
        <v>1464.4</v>
      </c>
      <c r="F97" s="84">
        <f t="shared" si="0"/>
        <v>0.14675019577133908</v>
      </c>
      <c r="G97" s="85">
        <f t="shared" si="2"/>
        <v>14.675019577133908</v>
      </c>
    </row>
    <row r="98" spans="1:7" x14ac:dyDescent="0.2">
      <c r="A98" s="24"/>
      <c r="B98" s="63"/>
      <c r="C98" s="24" t="s">
        <v>64</v>
      </c>
      <c r="D98" s="63">
        <v>1611</v>
      </c>
      <c r="E98" s="63">
        <v>1669</v>
      </c>
      <c r="F98" s="84">
        <f t="shared" si="0"/>
        <v>3.6002482929857305E-2</v>
      </c>
      <c r="G98" s="85">
        <f t="shared" si="2"/>
        <v>3.6002482929857305</v>
      </c>
    </row>
    <row r="99" spans="1:7" x14ac:dyDescent="0.2">
      <c r="A99" s="24"/>
      <c r="B99" s="63"/>
      <c r="C99" s="24" t="s">
        <v>48</v>
      </c>
      <c r="D99" s="63">
        <v>3065</v>
      </c>
      <c r="E99" s="63">
        <v>2995.5309999999999</v>
      </c>
      <c r="F99" s="84">
        <f t="shared" si="0"/>
        <v>-2.2665252854812468E-2</v>
      </c>
      <c r="G99" s="85">
        <f t="shared" si="2"/>
        <v>-2.2665252854812468</v>
      </c>
    </row>
    <row r="100" spans="1:7" x14ac:dyDescent="0.2">
      <c r="A100" s="24"/>
      <c r="B100" s="63"/>
      <c r="C100" s="24" t="s">
        <v>65</v>
      </c>
      <c r="D100" s="63">
        <v>2254</v>
      </c>
      <c r="E100" s="63">
        <v>2751</v>
      </c>
      <c r="F100" s="84">
        <f t="shared" si="0"/>
        <v>0.22049689440993792</v>
      </c>
      <c r="G100" s="85">
        <f t="shared" si="2"/>
        <v>22.049689440993792</v>
      </c>
    </row>
    <row r="101" spans="1:7" x14ac:dyDescent="0.2">
      <c r="A101" s="24"/>
      <c r="B101" s="63"/>
      <c r="C101" s="24" t="s">
        <v>39</v>
      </c>
      <c r="D101" s="63">
        <v>3860</v>
      </c>
      <c r="E101" s="63">
        <v>3284.26</v>
      </c>
      <c r="F101" s="84">
        <f t="shared" si="0"/>
        <v>-0.14915544041450768</v>
      </c>
      <c r="G101" s="85">
        <f t="shared" si="2"/>
        <v>-14.915544041450769</v>
      </c>
    </row>
    <row r="102" spans="1:7" x14ac:dyDescent="0.2">
      <c r="A102" s="24"/>
      <c r="B102" s="63"/>
      <c r="C102" s="24" t="s">
        <v>38</v>
      </c>
      <c r="D102" s="63">
        <v>14146</v>
      </c>
      <c r="E102" s="63">
        <v>13008.212</v>
      </c>
      <c r="F102" s="84">
        <f t="shared" si="0"/>
        <v>-8.04317828361375E-2</v>
      </c>
      <c r="G102" s="85">
        <f t="shared" si="2"/>
        <v>-8.0431782836137504</v>
      </c>
    </row>
    <row r="103" spans="1:7" x14ac:dyDescent="0.2">
      <c r="A103" s="24"/>
      <c r="B103" s="24"/>
      <c r="C103" s="24" t="s">
        <v>72</v>
      </c>
      <c r="D103" s="24">
        <v>44972</v>
      </c>
      <c r="E103" s="23">
        <v>65541.486999999994</v>
      </c>
      <c r="F103" s="84">
        <f t="shared" si="0"/>
        <v>0.45738430579026934</v>
      </c>
      <c r="G103" s="85">
        <f t="shared" si="2"/>
        <v>45.738430579026932</v>
      </c>
    </row>
    <row r="104" spans="1:7" x14ac:dyDescent="0.2">
      <c r="C104" s="9" t="s">
        <v>70</v>
      </c>
      <c r="D104" s="9">
        <v>2667</v>
      </c>
      <c r="E104" s="9">
        <v>3129.5129999999999</v>
      </c>
      <c r="F104" s="84">
        <f t="shared" si="0"/>
        <v>0.1734206974128234</v>
      </c>
      <c r="G104" s="85">
        <f t="shared" si="2"/>
        <v>17.342069741282341</v>
      </c>
    </row>
    <row r="105" spans="1:7" x14ac:dyDescent="0.2">
      <c r="F105" s="23"/>
      <c r="G105" s="23"/>
    </row>
    <row r="106" spans="1:7" x14ac:dyDescent="0.2">
      <c r="C106" s="9" t="s">
        <v>144</v>
      </c>
    </row>
    <row r="107" spans="1:7" x14ac:dyDescent="0.2">
      <c r="A107" s="24"/>
      <c r="B107" s="23"/>
      <c r="C107" s="24" t="s">
        <v>145</v>
      </c>
      <c r="D107" s="23"/>
      <c r="E107" s="23"/>
      <c r="F107" s="23"/>
      <c r="G107" s="23"/>
    </row>
    <row r="108" spans="1:7" x14ac:dyDescent="0.2">
      <c r="A108" s="23"/>
      <c r="B108" s="23"/>
      <c r="C108" s="23"/>
      <c r="D108" s="23"/>
      <c r="E108" s="23"/>
      <c r="F108" s="23"/>
      <c r="G108" s="23"/>
    </row>
    <row r="109" spans="1:7" x14ac:dyDescent="0.2">
      <c r="A109" s="24"/>
      <c r="B109" s="82"/>
      <c r="C109" s="24" t="s">
        <v>55</v>
      </c>
      <c r="D109" s="82"/>
      <c r="E109" s="39">
        <v>45890.958333333336</v>
      </c>
      <c r="F109" s="23"/>
      <c r="G109" s="23"/>
    </row>
    <row r="110" spans="1:7" x14ac:dyDescent="0.2">
      <c r="A110" s="39"/>
      <c r="B110" s="82"/>
      <c r="C110" s="39" t="s">
        <v>174</v>
      </c>
      <c r="D110" s="82"/>
      <c r="E110" s="23"/>
      <c r="F110" s="23"/>
      <c r="G110" s="23"/>
    </row>
    <row r="111" spans="1:7" x14ac:dyDescent="0.2">
      <c r="A111" s="24"/>
      <c r="B111" s="24"/>
      <c r="C111" s="24" t="s">
        <v>56</v>
      </c>
      <c r="D111" s="24" t="s">
        <v>57</v>
      </c>
      <c r="E111" s="23"/>
      <c r="F111" s="23"/>
      <c r="G111" s="23"/>
    </row>
    <row r="112" spans="1:7" x14ac:dyDescent="0.2">
      <c r="A112" s="23"/>
      <c r="B112" s="23"/>
      <c r="C112" s="23"/>
      <c r="D112" s="23"/>
      <c r="E112" s="23"/>
      <c r="F112" s="23"/>
      <c r="G112" s="23"/>
    </row>
    <row r="113" spans="1:7" x14ac:dyDescent="0.2">
      <c r="A113" s="24"/>
      <c r="B113" s="24"/>
      <c r="C113" s="24" t="s">
        <v>58</v>
      </c>
      <c r="D113" s="24" t="s">
        <v>68</v>
      </c>
      <c r="E113" s="23"/>
      <c r="F113" s="23"/>
      <c r="G113" s="23"/>
    </row>
    <row r="114" spans="1:7" x14ac:dyDescent="0.2">
      <c r="A114" s="24"/>
      <c r="B114" s="24"/>
      <c r="C114" s="24" t="s">
        <v>59</v>
      </c>
      <c r="D114" s="24" t="s">
        <v>66</v>
      </c>
      <c r="E114" s="23"/>
      <c r="F114" s="23"/>
      <c r="G114" s="23"/>
    </row>
    <row r="115" spans="1:7" x14ac:dyDescent="0.2">
      <c r="A115" s="24"/>
      <c r="B115" s="24"/>
      <c r="C115" s="24" t="s">
        <v>60</v>
      </c>
      <c r="D115" s="24" t="s">
        <v>61</v>
      </c>
      <c r="E115" s="23"/>
      <c r="F115" s="23"/>
      <c r="G115" s="23"/>
    </row>
    <row r="116" spans="1:7" x14ac:dyDescent="0.2">
      <c r="A116" s="23"/>
      <c r="B116" s="23"/>
      <c r="C116" s="23"/>
      <c r="D116" s="23"/>
      <c r="E116" s="23"/>
      <c r="F116" s="23"/>
      <c r="G116" s="23"/>
    </row>
    <row r="117" spans="1:7" x14ac:dyDescent="0.2">
      <c r="A117" s="24"/>
      <c r="B117" s="24"/>
      <c r="C117" s="24" t="s">
        <v>74</v>
      </c>
      <c r="D117" s="24">
        <v>2013</v>
      </c>
      <c r="E117" s="24">
        <v>2023</v>
      </c>
      <c r="F117" s="23"/>
      <c r="G117" s="23" t="s">
        <v>143</v>
      </c>
    </row>
    <row r="118" spans="1:7" x14ac:dyDescent="0.2">
      <c r="A118" s="24"/>
      <c r="B118" s="86"/>
      <c r="C118" s="24" t="s">
        <v>50</v>
      </c>
      <c r="D118" s="83">
        <v>715279.87399999995</v>
      </c>
      <c r="E118" s="83">
        <v>691476.71</v>
      </c>
      <c r="F118" s="23">
        <f t="shared" ref="F118:F154" si="3">E118/D118-1</f>
        <v>-3.3278112337884691E-2</v>
      </c>
      <c r="G118" s="85">
        <f t="shared" ref="G118" si="4">F118*100</f>
        <v>-3.3278112337884691</v>
      </c>
    </row>
    <row r="119" spans="1:7" x14ac:dyDescent="0.2">
      <c r="A119" s="24"/>
      <c r="B119" s="86"/>
      <c r="C119" s="24" t="s">
        <v>28</v>
      </c>
      <c r="D119" s="83">
        <v>609</v>
      </c>
      <c r="E119" s="83">
        <v>996.42200000000003</v>
      </c>
      <c r="F119" s="23">
        <f t="shared" si="3"/>
        <v>0.63616091954023002</v>
      </c>
      <c r="G119" s="85">
        <f t="shared" ref="G119:G145" si="5">F119*100</f>
        <v>63.616091954023005</v>
      </c>
    </row>
    <row r="120" spans="1:7" x14ac:dyDescent="0.2">
      <c r="A120" s="24"/>
      <c r="B120" s="86"/>
      <c r="C120" s="24" t="s">
        <v>17</v>
      </c>
      <c r="D120" s="83">
        <v>3229</v>
      </c>
      <c r="E120" s="83">
        <v>4078.7049999999999</v>
      </c>
      <c r="F120" s="23">
        <f t="shared" si="3"/>
        <v>0.26314803344688764</v>
      </c>
      <c r="G120" s="85">
        <f t="shared" si="5"/>
        <v>26.314803344688762</v>
      </c>
    </row>
    <row r="121" spans="1:7" x14ac:dyDescent="0.2">
      <c r="A121" s="24"/>
      <c r="B121" s="86"/>
      <c r="C121" s="24" t="s">
        <v>5</v>
      </c>
      <c r="D121" s="83">
        <v>17649.164000000001</v>
      </c>
      <c r="E121" s="83">
        <v>21922.901999999998</v>
      </c>
      <c r="F121" s="23">
        <f t="shared" si="3"/>
        <v>0.24214959983373707</v>
      </c>
      <c r="G121" s="85">
        <f t="shared" si="5"/>
        <v>24.214959983373706</v>
      </c>
    </row>
    <row r="122" spans="1:7" x14ac:dyDescent="0.2">
      <c r="A122" s="24"/>
      <c r="B122" s="86"/>
      <c r="C122" s="24" t="s">
        <v>9</v>
      </c>
      <c r="D122" s="83">
        <v>2591</v>
      </c>
      <c r="E122" s="83">
        <v>3147.3</v>
      </c>
      <c r="F122" s="23">
        <f t="shared" si="3"/>
        <v>0.21470474720185262</v>
      </c>
      <c r="G122" s="85">
        <f t="shared" si="5"/>
        <v>21.470474720185262</v>
      </c>
    </row>
    <row r="123" spans="1:7" x14ac:dyDescent="0.2">
      <c r="A123" s="24"/>
      <c r="B123" s="86"/>
      <c r="C123" s="24" t="s">
        <v>20</v>
      </c>
      <c r="D123" s="83">
        <v>4930</v>
      </c>
      <c r="E123" s="83">
        <v>5848</v>
      </c>
      <c r="F123" s="23">
        <f t="shared" si="3"/>
        <v>0.18620689655172407</v>
      </c>
      <c r="G123" s="85">
        <f t="shared" si="5"/>
        <v>18.620689655172406</v>
      </c>
    </row>
    <row r="124" spans="1:7" x14ac:dyDescent="0.2">
      <c r="A124" s="24"/>
      <c r="B124" s="86"/>
      <c r="C124" s="24" t="s">
        <v>21</v>
      </c>
      <c r="D124" s="83">
        <v>10580</v>
      </c>
      <c r="E124" s="83">
        <v>12532</v>
      </c>
      <c r="F124" s="23">
        <f t="shared" si="3"/>
        <v>0.18449905482041595</v>
      </c>
      <c r="G124" s="85">
        <f t="shared" si="5"/>
        <v>18.449905482041594</v>
      </c>
    </row>
    <row r="125" spans="1:7" x14ac:dyDescent="0.2">
      <c r="A125" s="24"/>
      <c r="B125" s="86"/>
      <c r="C125" s="24" t="s">
        <v>18</v>
      </c>
      <c r="D125" s="83">
        <v>12314</v>
      </c>
      <c r="E125" s="83">
        <v>14581.451999999999</v>
      </c>
      <c r="F125" s="23">
        <f t="shared" si="3"/>
        <v>0.18413610524606128</v>
      </c>
      <c r="G125" s="85">
        <f t="shared" si="5"/>
        <v>18.413610524606128</v>
      </c>
    </row>
    <row r="126" spans="1:7" x14ac:dyDescent="0.2">
      <c r="A126" s="24"/>
      <c r="B126" s="86"/>
      <c r="C126" s="24" t="s">
        <v>27</v>
      </c>
      <c r="D126" s="83">
        <v>1437</v>
      </c>
      <c r="E126" s="83">
        <v>1693.499</v>
      </c>
      <c r="F126" s="23">
        <f t="shared" si="3"/>
        <v>0.17849617258176753</v>
      </c>
      <c r="G126" s="85">
        <f t="shared" si="5"/>
        <v>17.849617258176753</v>
      </c>
    </row>
    <row r="127" spans="1:7" x14ac:dyDescent="0.2">
      <c r="A127" s="24"/>
      <c r="B127" s="86"/>
      <c r="C127" s="24" t="s">
        <v>24</v>
      </c>
      <c r="D127" s="83">
        <v>10537</v>
      </c>
      <c r="E127" s="83">
        <v>12311.736000000001</v>
      </c>
      <c r="F127" s="23">
        <f t="shared" si="3"/>
        <v>0.16842896460093004</v>
      </c>
      <c r="G127" s="85">
        <f t="shared" si="5"/>
        <v>16.842896460093005</v>
      </c>
    </row>
    <row r="128" spans="1:7" x14ac:dyDescent="0.2">
      <c r="A128" s="24"/>
      <c r="B128" s="86"/>
      <c r="C128" s="24" t="s">
        <v>19</v>
      </c>
      <c r="D128" s="83">
        <v>1865</v>
      </c>
      <c r="E128" s="83">
        <v>2163.2280000000001</v>
      </c>
      <c r="F128" s="23">
        <f t="shared" si="3"/>
        <v>0.1599077747989277</v>
      </c>
      <c r="G128" s="85">
        <f t="shared" si="5"/>
        <v>15.99077747989277</v>
      </c>
    </row>
    <row r="129" spans="1:7" x14ac:dyDescent="0.2">
      <c r="A129" s="24"/>
      <c r="B129" s="86"/>
      <c r="C129" s="24" t="s">
        <v>23</v>
      </c>
      <c r="D129" s="83">
        <v>11896</v>
      </c>
      <c r="E129" s="83">
        <v>13092</v>
      </c>
      <c r="F129" s="23">
        <f t="shared" si="3"/>
        <v>0.10053799596503032</v>
      </c>
      <c r="G129" s="85">
        <f t="shared" si="5"/>
        <v>10.053799596503033</v>
      </c>
    </row>
    <row r="130" spans="1:7" x14ac:dyDescent="0.2">
      <c r="A130" s="24"/>
      <c r="B130" s="86"/>
      <c r="C130" s="24" t="s">
        <v>47</v>
      </c>
      <c r="D130" s="83">
        <v>14716</v>
      </c>
      <c r="E130" s="83">
        <v>15476.669</v>
      </c>
      <c r="F130" s="23">
        <f t="shared" si="3"/>
        <v>5.1689929328621931E-2</v>
      </c>
      <c r="G130" s="85">
        <f t="shared" si="5"/>
        <v>5.1689929328621931</v>
      </c>
    </row>
    <row r="131" spans="1:7" x14ac:dyDescent="0.2">
      <c r="A131" s="24"/>
      <c r="B131" s="86"/>
      <c r="C131" s="24" t="s">
        <v>26</v>
      </c>
      <c r="D131" s="83">
        <v>6237</v>
      </c>
      <c r="E131" s="83">
        <v>6421.1</v>
      </c>
      <c r="F131" s="23">
        <f t="shared" si="3"/>
        <v>2.9517396184062905E-2</v>
      </c>
      <c r="G131" s="85">
        <f t="shared" si="5"/>
        <v>2.9517396184062905</v>
      </c>
    </row>
    <row r="132" spans="1:7" x14ac:dyDescent="0.2">
      <c r="A132" s="24"/>
      <c r="B132" s="86"/>
      <c r="C132" s="24" t="s">
        <v>14</v>
      </c>
      <c r="D132" s="83">
        <v>71060</v>
      </c>
      <c r="E132" s="83">
        <v>73151.600000000006</v>
      </c>
      <c r="F132" s="23">
        <f t="shared" si="3"/>
        <v>2.9434280889389264E-2</v>
      </c>
      <c r="G132" s="85">
        <f t="shared" si="5"/>
        <v>2.9434280889389264</v>
      </c>
    </row>
    <row r="133" spans="1:7" x14ac:dyDescent="0.2">
      <c r="A133" s="24"/>
      <c r="B133" s="86"/>
      <c r="C133" s="24" t="s">
        <v>8</v>
      </c>
      <c r="D133" s="83">
        <v>21510</v>
      </c>
      <c r="E133" s="83">
        <v>22089</v>
      </c>
      <c r="F133" s="23">
        <f t="shared" si="3"/>
        <v>2.6917712691771234E-2</v>
      </c>
      <c r="G133" s="85">
        <f t="shared" si="5"/>
        <v>2.6917712691771234</v>
      </c>
    </row>
    <row r="134" spans="1:7" x14ac:dyDescent="0.2">
      <c r="A134" s="24"/>
      <c r="B134" s="86"/>
      <c r="C134" s="24" t="s">
        <v>3</v>
      </c>
      <c r="D134" s="83">
        <v>7947.7430000000004</v>
      </c>
      <c r="E134" s="83">
        <v>8082.5460000000003</v>
      </c>
      <c r="F134" s="23">
        <f t="shared" si="3"/>
        <v>1.6961167466034155E-2</v>
      </c>
      <c r="G134" s="85">
        <f t="shared" si="5"/>
        <v>1.6961167466034155</v>
      </c>
    </row>
    <row r="135" spans="1:7" x14ac:dyDescent="0.2">
      <c r="A135" s="24"/>
      <c r="B135" s="86"/>
      <c r="C135" s="24" t="s">
        <v>22</v>
      </c>
      <c r="D135" s="83">
        <v>28442</v>
      </c>
      <c r="E135" s="83">
        <v>28860</v>
      </c>
      <c r="F135" s="23">
        <f t="shared" si="3"/>
        <v>1.469657548695591E-2</v>
      </c>
      <c r="G135" s="85">
        <f t="shared" si="5"/>
        <v>1.469657548695591</v>
      </c>
    </row>
    <row r="136" spans="1:7" x14ac:dyDescent="0.2">
      <c r="A136" s="24"/>
      <c r="B136" s="86"/>
      <c r="C136" s="24" t="s">
        <v>15</v>
      </c>
      <c r="D136" s="83">
        <v>66983</v>
      </c>
      <c r="E136" s="83">
        <v>63412.983999999997</v>
      </c>
      <c r="F136" s="23">
        <f t="shared" si="3"/>
        <v>-5.3297344102234967E-2</v>
      </c>
      <c r="G136" s="85">
        <f t="shared" si="5"/>
        <v>-5.3297344102234963</v>
      </c>
    </row>
    <row r="137" spans="1:7" x14ac:dyDescent="0.2">
      <c r="A137" s="24"/>
      <c r="B137" s="86"/>
      <c r="C137" s="24" t="s">
        <v>7</v>
      </c>
      <c r="D137" s="83">
        <v>10307</v>
      </c>
      <c r="E137" s="83">
        <v>9752.1859999999997</v>
      </c>
      <c r="F137" s="23">
        <f t="shared" si="3"/>
        <v>-5.3828854176773078E-2</v>
      </c>
      <c r="G137" s="85">
        <f t="shared" si="5"/>
        <v>-5.3828854176773078</v>
      </c>
    </row>
    <row r="138" spans="1:7" x14ac:dyDescent="0.2">
      <c r="A138" s="24"/>
      <c r="B138" s="86"/>
      <c r="C138" s="24" t="s">
        <v>1</v>
      </c>
      <c r="D138" s="83">
        <v>979.18299999999999</v>
      </c>
      <c r="E138" s="83">
        <v>920.65899999999999</v>
      </c>
      <c r="F138" s="23">
        <f t="shared" si="3"/>
        <v>-5.9768194505010808E-2</v>
      </c>
      <c r="G138" s="85">
        <f t="shared" si="5"/>
        <v>-5.9768194505010808</v>
      </c>
    </row>
    <row r="139" spans="1:7" x14ac:dyDescent="0.2">
      <c r="A139" s="24"/>
      <c r="B139" s="86"/>
      <c r="C139" s="24" t="s">
        <v>51</v>
      </c>
      <c r="D139" s="83">
        <v>136000</v>
      </c>
      <c r="E139" s="83">
        <v>126661</v>
      </c>
      <c r="F139" s="23">
        <f t="shared" si="3"/>
        <v>-6.8669117647058853E-2</v>
      </c>
      <c r="G139" s="85">
        <f t="shared" si="5"/>
        <v>-6.8669117647058853</v>
      </c>
    </row>
    <row r="140" spans="1:7" x14ac:dyDescent="0.2">
      <c r="A140" s="24"/>
      <c r="B140" s="86"/>
      <c r="C140" s="24" t="s">
        <v>10</v>
      </c>
      <c r="D140" s="83">
        <v>1783</v>
      </c>
      <c r="E140" s="83">
        <v>1649.8040000000001</v>
      </c>
      <c r="F140" s="23">
        <f t="shared" si="3"/>
        <v>-7.4703309029725107E-2</v>
      </c>
      <c r="G140" s="85">
        <f t="shared" si="5"/>
        <v>-7.4703309029725107</v>
      </c>
    </row>
    <row r="141" spans="1:7" x14ac:dyDescent="0.2">
      <c r="A141" s="24"/>
      <c r="B141" s="86"/>
      <c r="C141" s="24" t="s">
        <v>4</v>
      </c>
      <c r="D141" s="83">
        <v>23360.958999999999</v>
      </c>
      <c r="E141" s="83">
        <v>21323.539000000001</v>
      </c>
      <c r="F141" s="23">
        <f t="shared" si="3"/>
        <v>-8.7214741483857661E-2</v>
      </c>
      <c r="G141" s="85">
        <f t="shared" si="5"/>
        <v>-8.7214741483857665</v>
      </c>
    </row>
    <row r="142" spans="1:7" x14ac:dyDescent="0.2">
      <c r="A142" s="24"/>
      <c r="B142" s="86"/>
      <c r="C142" s="24" t="s">
        <v>6</v>
      </c>
      <c r="D142" s="83">
        <v>43504</v>
      </c>
      <c r="E142" s="83">
        <v>39550</v>
      </c>
      <c r="F142" s="23">
        <f t="shared" si="3"/>
        <v>-9.0888194189040039E-2</v>
      </c>
      <c r="G142" s="85">
        <f t="shared" si="5"/>
        <v>-9.0888194189040039</v>
      </c>
    </row>
    <row r="143" spans="1:7" x14ac:dyDescent="0.2">
      <c r="A143" s="24"/>
      <c r="B143" s="24"/>
      <c r="C143" s="24" t="s">
        <v>13</v>
      </c>
      <c r="D143" s="83">
        <v>168129.22500000001</v>
      </c>
      <c r="E143" s="83">
        <v>150744.81099999999</v>
      </c>
      <c r="F143" s="23">
        <f t="shared" si="3"/>
        <v>-0.10339912052767752</v>
      </c>
      <c r="G143" s="85">
        <f t="shared" si="5"/>
        <v>-10.339912052767753</v>
      </c>
    </row>
    <row r="144" spans="1:7" x14ac:dyDescent="0.2">
      <c r="A144" s="24"/>
      <c r="B144" s="86"/>
      <c r="C144" s="24" t="s">
        <v>16</v>
      </c>
      <c r="D144" s="83">
        <v>17446</v>
      </c>
      <c r="E144" s="83">
        <v>15129.268</v>
      </c>
      <c r="F144" s="23">
        <f t="shared" si="3"/>
        <v>-0.1327944514501892</v>
      </c>
      <c r="G144" s="85">
        <f t="shared" si="5"/>
        <v>-13.27944514501892</v>
      </c>
    </row>
    <row r="145" spans="1:7" x14ac:dyDescent="0.2">
      <c r="A145" s="24"/>
      <c r="B145" s="86"/>
      <c r="C145" s="24" t="s">
        <v>2</v>
      </c>
      <c r="D145" s="83">
        <v>19237.599999999999</v>
      </c>
      <c r="E145" s="83">
        <v>15884.3</v>
      </c>
      <c r="F145" s="23">
        <f t="shared" si="3"/>
        <v>-0.17430968519981704</v>
      </c>
      <c r="G145" s="85">
        <f t="shared" si="5"/>
        <v>-17.430968519981704</v>
      </c>
    </row>
    <row r="146" spans="1:7" x14ac:dyDescent="0.2">
      <c r="A146" s="24"/>
      <c r="B146" s="87"/>
      <c r="C146" s="24" t="s">
        <v>25</v>
      </c>
      <c r="D146" s="63">
        <v>38902.008000000002</v>
      </c>
      <c r="E146" s="63">
        <v>38845.241999999998</v>
      </c>
      <c r="F146" s="23">
        <f t="shared" si="3"/>
        <v>-1.4592048821747694E-3</v>
      </c>
      <c r="G146" s="85">
        <f t="shared" ref="G146:G154" si="6">F146*100</f>
        <v>-0.14592048821747694</v>
      </c>
    </row>
    <row r="147" spans="1:7" x14ac:dyDescent="0.2">
      <c r="A147" s="24"/>
      <c r="B147" s="88"/>
      <c r="C147" s="5" t="s">
        <v>72</v>
      </c>
      <c r="D147" s="5">
        <v>44972</v>
      </c>
      <c r="E147" s="23">
        <v>65541.486999999994</v>
      </c>
      <c r="F147" s="23">
        <f t="shared" si="3"/>
        <v>0.45738430579026934</v>
      </c>
      <c r="G147" s="85">
        <f t="shared" si="6"/>
        <v>45.738430579026932</v>
      </c>
    </row>
    <row r="148" spans="1:7" x14ac:dyDescent="0.2">
      <c r="A148" s="24"/>
      <c r="B148" s="88"/>
      <c r="C148" s="5" t="s">
        <v>65</v>
      </c>
      <c r="D148" s="109">
        <v>2254</v>
      </c>
      <c r="E148" s="109">
        <v>2751</v>
      </c>
      <c r="F148" s="23">
        <f t="shared" si="3"/>
        <v>0.22049689440993792</v>
      </c>
      <c r="G148" s="85">
        <f t="shared" si="6"/>
        <v>22.049689440993792</v>
      </c>
    </row>
    <row r="149" spans="1:7" x14ac:dyDescent="0.2">
      <c r="A149" s="24"/>
      <c r="B149" s="88"/>
      <c r="C149" s="41" t="s">
        <v>70</v>
      </c>
      <c r="D149" s="41">
        <v>2667</v>
      </c>
      <c r="E149" s="41">
        <v>3129.5129999999999</v>
      </c>
      <c r="F149" s="23">
        <f t="shared" si="3"/>
        <v>0.1734206974128234</v>
      </c>
      <c r="G149" s="85">
        <f t="shared" si="6"/>
        <v>17.342069741282341</v>
      </c>
    </row>
    <row r="150" spans="1:7" x14ac:dyDescent="0.2">
      <c r="A150" s="24"/>
      <c r="B150" s="88"/>
      <c r="C150" s="5" t="s">
        <v>40</v>
      </c>
      <c r="D150" s="109">
        <v>1277</v>
      </c>
      <c r="E150" s="109">
        <v>1464.4</v>
      </c>
      <c r="F150" s="23">
        <f t="shared" si="3"/>
        <v>0.14675019577133908</v>
      </c>
      <c r="G150" s="85">
        <f t="shared" si="6"/>
        <v>14.675019577133908</v>
      </c>
    </row>
    <row r="151" spans="1:7" x14ac:dyDescent="0.2">
      <c r="A151" s="24"/>
      <c r="B151" s="88"/>
      <c r="C151" s="5" t="s">
        <v>64</v>
      </c>
      <c r="D151" s="109">
        <v>1611</v>
      </c>
      <c r="E151" s="109">
        <v>1669</v>
      </c>
      <c r="F151" s="23">
        <f t="shared" si="3"/>
        <v>3.6002482929857305E-2</v>
      </c>
      <c r="G151" s="85">
        <f t="shared" si="6"/>
        <v>3.6002482929857305</v>
      </c>
    </row>
    <row r="152" spans="1:7" x14ac:dyDescent="0.2">
      <c r="A152" s="24"/>
      <c r="B152" s="88"/>
      <c r="C152" s="5" t="s">
        <v>48</v>
      </c>
      <c r="D152" s="109">
        <v>3065</v>
      </c>
      <c r="E152" s="109">
        <v>2995.5309999999999</v>
      </c>
      <c r="F152" s="23">
        <f t="shared" si="3"/>
        <v>-2.2665252854812468E-2</v>
      </c>
      <c r="G152" s="85">
        <f t="shared" si="6"/>
        <v>-2.2665252854812468</v>
      </c>
    </row>
    <row r="153" spans="1:7" x14ac:dyDescent="0.2">
      <c r="C153" s="5" t="s">
        <v>38</v>
      </c>
      <c r="D153" s="109">
        <v>14146</v>
      </c>
      <c r="E153" s="109">
        <v>13008.212</v>
      </c>
      <c r="F153" s="23">
        <f t="shared" si="3"/>
        <v>-8.04317828361375E-2</v>
      </c>
      <c r="G153" s="85">
        <f t="shared" si="6"/>
        <v>-8.0431782836137504</v>
      </c>
    </row>
    <row r="154" spans="1:7" x14ac:dyDescent="0.2">
      <c r="C154" s="5" t="s">
        <v>39</v>
      </c>
      <c r="D154" s="109">
        <v>3860</v>
      </c>
      <c r="E154" s="109">
        <v>3284.26</v>
      </c>
      <c r="F154" s="23">
        <f t="shared" si="3"/>
        <v>-0.14915544041450768</v>
      </c>
      <c r="G154" s="85">
        <f t="shared" si="6"/>
        <v>-14.915544041450769</v>
      </c>
    </row>
  </sheetData>
  <sortState xmlns:xlrd2="http://schemas.microsoft.com/office/spreadsheetml/2017/richdata2" ref="A147:AH152">
    <sortCondition descending="1" ref="E147:E152"/>
  </sortState>
  <phoneticPr fontId="1" type="noConversion"/>
  <hyperlinks>
    <hyperlink ref="C55" r:id="rId1" display="https://ec.europa.eu/eurostat/databrowser/view/NRG_CB_E__custom_12582928/default/table?lang=en" xr:uid="{318AB611-EE64-45CE-B708-55E8B6C0B8A0}"/>
  </hyperlinks>
  <pageMargins left="0.75" right="0.75" top="1" bottom="1" header="0.5" footer="0.5"/>
  <pageSetup paperSize="150" orientation="portrait" horizontalDpi="2400" verticalDpi="2400" r:id="rId2"/>
  <headerFooter alignWithMargins="0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5">
    <tabColor rgb="FF92D050"/>
  </sheetPr>
  <dimension ref="A1:AH85"/>
  <sheetViews>
    <sheetView showGridLines="0" tabSelected="1" topLeftCell="A4" zoomScaleNormal="100" workbookViewId="0">
      <selection activeCell="F31" sqref="F31"/>
    </sheetView>
  </sheetViews>
  <sheetFormatPr defaultColWidth="9.140625" defaultRowHeight="12.75" x14ac:dyDescent="0.2"/>
  <cols>
    <col min="1" max="2" width="9.28515625" style="9" customWidth="1"/>
    <col min="3" max="3" width="24.140625" style="9" customWidth="1"/>
    <col min="4" max="4" width="10.42578125" style="9" customWidth="1"/>
    <col min="5" max="16384" width="9.140625" style="9"/>
  </cols>
  <sheetData>
    <row r="1" spans="1:34" x14ac:dyDescent="0.2">
      <c r="A1" s="8"/>
    </row>
    <row r="2" spans="1:34" s="10" customFormat="1" x14ac:dyDescent="0.2">
      <c r="A2" s="9"/>
    </row>
    <row r="3" spans="1:34" s="10" customFormat="1" x14ac:dyDescent="0.2">
      <c r="C3" s="10" t="s">
        <v>0</v>
      </c>
    </row>
    <row r="4" spans="1:34" s="10" customFormat="1" x14ac:dyDescent="0.2">
      <c r="C4" s="10" t="s">
        <v>34</v>
      </c>
    </row>
    <row r="5" spans="1:34" s="10" customFormat="1" x14ac:dyDescent="0.2"/>
    <row r="6" spans="1:34" s="12" customFormat="1" ht="15.75" x14ac:dyDescent="0.25">
      <c r="A6" s="11"/>
      <c r="C6" s="101" t="s">
        <v>181</v>
      </c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</row>
    <row r="7" spans="1:34" s="10" customFormat="1" ht="14.25" x14ac:dyDescent="0.2">
      <c r="C7" s="102" t="s">
        <v>42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</row>
    <row r="8" spans="1:34" x14ac:dyDescent="0.2">
      <c r="M8" s="10"/>
    </row>
    <row r="9" spans="1:34" x14ac:dyDescent="0.2">
      <c r="M9" s="10"/>
    </row>
    <row r="10" spans="1:34" x14ac:dyDescent="0.2">
      <c r="C10" s="27"/>
      <c r="D10" s="103">
        <v>2018</v>
      </c>
      <c r="E10" s="103">
        <v>2023</v>
      </c>
    </row>
    <row r="11" spans="1:34" x14ac:dyDescent="0.2">
      <c r="C11" s="14"/>
      <c r="D11" s="14"/>
      <c r="E11" s="14"/>
      <c r="H11" s="15"/>
    </row>
    <row r="12" spans="1:34" x14ac:dyDescent="0.2">
      <c r="C12" s="104" t="s">
        <v>27</v>
      </c>
      <c r="D12" s="26">
        <v>92.26</v>
      </c>
      <c r="E12" s="26">
        <v>84.86</v>
      </c>
      <c r="F12" s="17">
        <f>E12/D12-1</f>
        <v>-8.0208107522219851E-2</v>
      </c>
      <c r="M12" s="18"/>
      <c r="O12" s="19"/>
    </row>
    <row r="13" spans="1:34" x14ac:dyDescent="0.2">
      <c r="C13" s="104" t="s">
        <v>26</v>
      </c>
      <c r="D13" s="26">
        <v>82.7</v>
      </c>
      <c r="E13" s="26">
        <v>78.430000000000007</v>
      </c>
      <c r="F13" s="17">
        <f t="shared" ref="F13:F43" si="0">E13/D13-1</f>
        <v>-5.1632406287787092E-2</v>
      </c>
      <c r="I13" s="9" t="s">
        <v>37</v>
      </c>
      <c r="M13" s="18"/>
      <c r="O13" s="19"/>
    </row>
    <row r="14" spans="1:34" x14ac:dyDescent="0.2">
      <c r="C14" s="104" t="s">
        <v>13</v>
      </c>
      <c r="D14" s="26">
        <v>82.14</v>
      </c>
      <c r="E14" s="26">
        <v>73.94</v>
      </c>
      <c r="F14" s="17">
        <f t="shared" si="0"/>
        <v>-9.9829559289018821E-2</v>
      </c>
      <c r="M14" s="18"/>
      <c r="O14" s="19"/>
    </row>
    <row r="15" spans="1:34" x14ac:dyDescent="0.2">
      <c r="C15" s="104" t="s">
        <v>20</v>
      </c>
      <c r="D15" s="26">
        <v>70.489999999999995</v>
      </c>
      <c r="E15" s="26">
        <v>73.319999999999993</v>
      </c>
      <c r="F15" s="17">
        <f t="shared" si="0"/>
        <v>4.014753865796572E-2</v>
      </c>
      <c r="M15" s="18"/>
      <c r="O15" s="19"/>
    </row>
    <row r="16" spans="1:34" x14ac:dyDescent="0.2">
      <c r="C16" s="104" t="s">
        <v>10</v>
      </c>
      <c r="D16" s="26">
        <v>63.39</v>
      </c>
      <c r="E16" s="26">
        <v>66.48</v>
      </c>
      <c r="F16" s="17">
        <f t="shared" si="0"/>
        <v>4.8745858968291644E-2</v>
      </c>
      <c r="M16" s="18"/>
      <c r="O16" s="19"/>
    </row>
    <row r="17" spans="1:15" x14ac:dyDescent="0.2">
      <c r="C17" s="104" t="s">
        <v>47</v>
      </c>
      <c r="D17" s="26">
        <v>68.400000000000006</v>
      </c>
      <c r="E17" s="26">
        <v>64.34</v>
      </c>
      <c r="F17" s="17">
        <f>E17/D17-1</f>
        <v>-5.935672514619883E-2</v>
      </c>
      <c r="M17" s="18"/>
      <c r="O17" s="19"/>
    </row>
    <row r="18" spans="1:15" x14ac:dyDescent="0.2">
      <c r="C18" s="104" t="s">
        <v>21</v>
      </c>
      <c r="D18" s="26">
        <v>55.151000000000003</v>
      </c>
      <c r="E18" s="26">
        <v>63.46</v>
      </c>
      <c r="F18" s="17">
        <f t="shared" si="0"/>
        <v>0.15065909956301793</v>
      </c>
      <c r="M18" s="18"/>
      <c r="O18" s="19"/>
    </row>
    <row r="19" spans="1:15" x14ac:dyDescent="0.2">
      <c r="C19" s="104" t="s">
        <v>19</v>
      </c>
      <c r="D19" s="26">
        <v>80</v>
      </c>
      <c r="E19" s="26">
        <v>54.57</v>
      </c>
      <c r="F19" s="17">
        <f t="shared" si="0"/>
        <v>-0.31787500000000002</v>
      </c>
      <c r="I19" s="9" t="s">
        <v>37</v>
      </c>
      <c r="M19" s="18"/>
      <c r="O19" s="19"/>
    </row>
    <row r="20" spans="1:15" x14ac:dyDescent="0.2">
      <c r="A20" s="16"/>
      <c r="C20" s="104" t="s">
        <v>17</v>
      </c>
      <c r="D20" s="26">
        <v>51.46</v>
      </c>
      <c r="E20" s="26">
        <v>49.24</v>
      </c>
      <c r="F20" s="17">
        <f t="shared" si="0"/>
        <v>-4.3140303148076153E-2</v>
      </c>
      <c r="I20" s="9" t="s">
        <v>37</v>
      </c>
      <c r="M20" s="18"/>
      <c r="O20" s="19"/>
    </row>
    <row r="21" spans="1:15" x14ac:dyDescent="0.2">
      <c r="C21" s="104" t="s">
        <v>2</v>
      </c>
      <c r="D21" s="26">
        <v>51.51</v>
      </c>
      <c r="E21" s="26">
        <v>48.48</v>
      </c>
      <c r="F21" s="17">
        <f t="shared" si="0"/>
        <v>-5.8823529411764719E-2</v>
      </c>
      <c r="I21" s="9" t="s">
        <v>37</v>
      </c>
      <c r="M21" s="18"/>
      <c r="O21" s="19"/>
    </row>
    <row r="22" spans="1:15" x14ac:dyDescent="0.2">
      <c r="C22" s="104" t="s">
        <v>24</v>
      </c>
      <c r="D22" s="26">
        <v>35.82</v>
      </c>
      <c r="E22" s="26">
        <v>41.6</v>
      </c>
      <c r="F22" s="17">
        <f t="shared" si="0"/>
        <v>0.16136236739251819</v>
      </c>
      <c r="I22" s="9" t="s">
        <v>37</v>
      </c>
      <c r="M22" s="18"/>
      <c r="O22" s="19"/>
    </row>
    <row r="23" spans="1:15" x14ac:dyDescent="0.2">
      <c r="C23" s="104" t="s">
        <v>16</v>
      </c>
      <c r="D23" s="26">
        <v>58.18</v>
      </c>
      <c r="E23" s="26">
        <v>33.270000000000003</v>
      </c>
      <c r="F23" s="17">
        <f t="shared" si="0"/>
        <v>-0.42815400481265031</v>
      </c>
      <c r="I23" s="9" t="s">
        <v>37</v>
      </c>
      <c r="M23" s="18"/>
      <c r="O23" s="19"/>
    </row>
    <row r="24" spans="1:15" x14ac:dyDescent="0.2">
      <c r="C24" s="104" t="s">
        <v>8</v>
      </c>
      <c r="D24" s="26">
        <v>20.86</v>
      </c>
      <c r="E24" s="26">
        <v>31.52</v>
      </c>
      <c r="F24" s="17">
        <f t="shared" si="0"/>
        <v>0.51102588686481298</v>
      </c>
      <c r="I24" s="9" t="s">
        <v>37</v>
      </c>
      <c r="M24" s="18"/>
      <c r="O24" s="19"/>
    </row>
    <row r="25" spans="1:15" x14ac:dyDescent="0.2">
      <c r="C25" s="104" t="s">
        <v>3</v>
      </c>
      <c r="D25" s="26">
        <v>44</v>
      </c>
      <c r="E25" s="26">
        <v>31</v>
      </c>
      <c r="F25" s="17">
        <f t="shared" si="0"/>
        <v>-0.29545454545454541</v>
      </c>
      <c r="I25" s="9" t="s">
        <v>37</v>
      </c>
      <c r="M25" s="18"/>
      <c r="O25" s="19"/>
    </row>
    <row r="26" spans="1:15" x14ac:dyDescent="0.2">
      <c r="C26" s="104" t="s">
        <v>23</v>
      </c>
      <c r="D26" s="26">
        <v>27.86</v>
      </c>
      <c r="E26" s="26">
        <v>25.655999999999999</v>
      </c>
      <c r="F26" s="17">
        <f t="shared" si="0"/>
        <v>-7.9109834888729358E-2</v>
      </c>
      <c r="I26" s="9" t="s">
        <v>37</v>
      </c>
      <c r="M26" s="18"/>
      <c r="O26" s="19"/>
    </row>
    <row r="27" spans="1:15" x14ac:dyDescent="0.2">
      <c r="C27" s="104" t="s">
        <v>18</v>
      </c>
      <c r="D27" s="26">
        <v>43.3</v>
      </c>
      <c r="E27" s="26">
        <v>23.24</v>
      </c>
      <c r="F27" s="17">
        <f t="shared" si="0"/>
        <v>-0.4632794457274827</v>
      </c>
      <c r="I27" s="9" t="s">
        <v>37</v>
      </c>
      <c r="M27" s="18"/>
      <c r="O27" s="19"/>
    </row>
    <row r="28" spans="1:15" x14ac:dyDescent="0.2">
      <c r="C28" s="104" t="s">
        <v>14</v>
      </c>
      <c r="D28" s="26">
        <v>22.37</v>
      </c>
      <c r="E28" s="26">
        <v>23.1</v>
      </c>
      <c r="F28" s="17">
        <f t="shared" si="0"/>
        <v>3.2632990612427415E-2</v>
      </c>
      <c r="I28" s="9" t="s">
        <v>37</v>
      </c>
      <c r="M28" s="18"/>
      <c r="O28" s="19"/>
    </row>
    <row r="29" spans="1:15" x14ac:dyDescent="0.2">
      <c r="C29" s="104" t="s">
        <v>7</v>
      </c>
      <c r="D29" s="26">
        <v>32.75</v>
      </c>
      <c r="E29" s="26">
        <v>22.678999999999998</v>
      </c>
      <c r="F29" s="17">
        <f t="shared" si="0"/>
        <v>-0.30751145038167949</v>
      </c>
      <c r="I29" s="9" t="s">
        <v>37</v>
      </c>
      <c r="M29" s="18"/>
      <c r="O29" s="19"/>
    </row>
    <row r="30" spans="1:15" x14ac:dyDescent="0.2">
      <c r="C30" s="104" t="s">
        <v>12</v>
      </c>
      <c r="D30" s="26">
        <v>30.2</v>
      </c>
      <c r="E30" s="26">
        <v>22.5</v>
      </c>
      <c r="F30" s="17">
        <f t="shared" si="0"/>
        <v>-0.25496688741721851</v>
      </c>
      <c r="I30" s="9" t="s">
        <v>37</v>
      </c>
      <c r="M30" s="18"/>
      <c r="O30" s="19"/>
    </row>
    <row r="31" spans="1:15" x14ac:dyDescent="0.2">
      <c r="C31" s="104" t="s">
        <v>1</v>
      </c>
      <c r="D31" s="26">
        <v>14.43</v>
      </c>
      <c r="E31" s="26">
        <v>18.39</v>
      </c>
      <c r="F31" s="17">
        <f t="shared" si="0"/>
        <v>0.27442827442827444</v>
      </c>
      <c r="I31" s="9" t="s">
        <v>37</v>
      </c>
      <c r="M31" s="18"/>
      <c r="O31" s="19"/>
    </row>
    <row r="32" spans="1:15" x14ac:dyDescent="0.2">
      <c r="C32" s="104" t="s">
        <v>6</v>
      </c>
      <c r="D32" s="26">
        <v>19.37</v>
      </c>
      <c r="E32" s="26">
        <v>17.8</v>
      </c>
      <c r="F32" s="17">
        <f t="shared" si="0"/>
        <v>-8.1053175012906542E-2</v>
      </c>
      <c r="I32" s="9" t="s">
        <v>37</v>
      </c>
      <c r="O32" s="19"/>
    </row>
    <row r="33" spans="3:15" x14ac:dyDescent="0.2">
      <c r="C33" s="104" t="s">
        <v>15</v>
      </c>
      <c r="D33" s="26">
        <v>19</v>
      </c>
      <c r="E33" s="26">
        <v>17</v>
      </c>
      <c r="F33" s="17">
        <f t="shared" si="0"/>
        <v>-0.10526315789473684</v>
      </c>
      <c r="I33" s="9" t="s">
        <v>37</v>
      </c>
      <c r="O33" s="19"/>
    </row>
    <row r="34" spans="3:15" x14ac:dyDescent="0.2">
      <c r="C34" s="104" t="s">
        <v>22</v>
      </c>
      <c r="D34" s="26">
        <v>17.13</v>
      </c>
      <c r="E34" s="26">
        <v>12.99</v>
      </c>
      <c r="F34" s="17">
        <f t="shared" si="0"/>
        <v>-0.24168126094570919</v>
      </c>
      <c r="H34" s="1"/>
      <c r="M34" s="20"/>
      <c r="O34" s="19"/>
    </row>
    <row r="35" spans="3:15" x14ac:dyDescent="0.2">
      <c r="C35" s="104" t="s">
        <v>9</v>
      </c>
      <c r="D35" s="26">
        <v>15.5</v>
      </c>
      <c r="E35" s="26">
        <v>9.15</v>
      </c>
      <c r="F35" s="17">
        <f t="shared" si="0"/>
        <v>-0.4096774193548387</v>
      </c>
      <c r="O35" s="19"/>
    </row>
    <row r="36" spans="3:15" x14ac:dyDescent="0.2">
      <c r="C36" s="104"/>
      <c r="D36" s="26"/>
      <c r="E36" s="26"/>
      <c r="F36" s="17"/>
      <c r="O36" s="19"/>
    </row>
    <row r="37" spans="3:15" x14ac:dyDescent="0.2">
      <c r="C37" s="12" t="s">
        <v>70</v>
      </c>
      <c r="D37" s="26">
        <v>94.29</v>
      </c>
      <c r="E37" s="26">
        <v>95</v>
      </c>
      <c r="F37" s="17">
        <f t="shared" si="0"/>
        <v>7.5299607593592999E-3</v>
      </c>
      <c r="I37" s="9" t="s">
        <v>37</v>
      </c>
      <c r="M37" s="18"/>
      <c r="O37" s="19"/>
    </row>
    <row r="38" spans="3:15" x14ac:dyDescent="0.2">
      <c r="C38" s="104" t="s">
        <v>38</v>
      </c>
      <c r="D38" s="26">
        <v>97.92</v>
      </c>
      <c r="E38" s="26">
        <v>92.11</v>
      </c>
      <c r="F38" s="17">
        <f t="shared" si="0"/>
        <v>-5.9334150326797452E-2</v>
      </c>
      <c r="M38" s="18"/>
      <c r="O38" s="19"/>
    </row>
    <row r="39" spans="3:15" x14ac:dyDescent="0.2">
      <c r="C39" s="105" t="s">
        <v>40</v>
      </c>
      <c r="D39" s="26">
        <v>92.95</v>
      </c>
      <c r="E39" s="26">
        <v>86.35</v>
      </c>
      <c r="F39" s="17">
        <f t="shared" si="0"/>
        <v>-7.1005917159763454E-2</v>
      </c>
      <c r="I39" s="9" t="s">
        <v>37</v>
      </c>
      <c r="O39" s="19"/>
    </row>
    <row r="40" spans="3:15" x14ac:dyDescent="0.2">
      <c r="C40" s="105" t="s">
        <v>64</v>
      </c>
      <c r="D40" s="26">
        <v>77.75</v>
      </c>
      <c r="E40" s="26">
        <v>77.400000000000006</v>
      </c>
      <c r="F40" s="17">
        <f t="shared" si="0"/>
        <v>-4.5016077170417779E-3</v>
      </c>
      <c r="M40" s="18"/>
      <c r="O40" s="19"/>
    </row>
    <row r="41" spans="3:15" x14ac:dyDescent="0.2">
      <c r="C41" s="12" t="s">
        <v>48</v>
      </c>
      <c r="D41" s="26">
        <v>82.379000000000005</v>
      </c>
      <c r="E41" s="26">
        <v>63.405999999999999</v>
      </c>
      <c r="F41" s="17">
        <f t="shared" si="0"/>
        <v>-0.23031355078357352</v>
      </c>
      <c r="O41" s="19"/>
    </row>
    <row r="42" spans="3:15" x14ac:dyDescent="0.2">
      <c r="C42" s="12" t="s">
        <v>63</v>
      </c>
      <c r="D42" s="26">
        <v>40.54</v>
      </c>
      <c r="E42" s="26">
        <v>35.304000000000002</v>
      </c>
      <c r="F42" s="17">
        <f t="shared" si="0"/>
        <v>-0.12915638875184998</v>
      </c>
      <c r="O42" s="19"/>
    </row>
    <row r="43" spans="3:15" x14ac:dyDescent="0.2">
      <c r="C43" s="12" t="s">
        <v>65</v>
      </c>
      <c r="D43" s="26">
        <v>33.1</v>
      </c>
      <c r="E43" s="26">
        <v>25</v>
      </c>
      <c r="F43" s="17">
        <f t="shared" si="0"/>
        <v>-0.24471299093655596</v>
      </c>
      <c r="O43" s="19"/>
    </row>
    <row r="44" spans="3:15" x14ac:dyDescent="0.2">
      <c r="C44" s="12"/>
      <c r="D44" s="25"/>
      <c r="E44" s="25"/>
      <c r="F44" s="17"/>
      <c r="O44" s="19"/>
    </row>
    <row r="45" spans="3:15" x14ac:dyDescent="0.2">
      <c r="D45" s="14"/>
      <c r="E45" s="14"/>
      <c r="F45" s="17"/>
      <c r="O45" s="19"/>
    </row>
    <row r="46" spans="3:15" x14ac:dyDescent="0.2">
      <c r="D46" s="14"/>
      <c r="E46" s="14"/>
      <c r="I46" s="21"/>
    </row>
    <row r="47" spans="3:15" x14ac:dyDescent="0.2">
      <c r="D47" s="22"/>
    </row>
    <row r="48" spans="3:15" x14ac:dyDescent="0.2">
      <c r="D48" s="22"/>
      <c r="O48" s="19"/>
    </row>
    <row r="49" spans="1:15" x14ac:dyDescent="0.2">
      <c r="D49" s="22"/>
      <c r="O49" s="19"/>
    </row>
    <row r="50" spans="1:15" x14ac:dyDescent="0.2">
      <c r="D50" s="22"/>
      <c r="O50" s="19"/>
    </row>
    <row r="51" spans="1:15" x14ac:dyDescent="0.2">
      <c r="C51" s="16"/>
      <c r="O51" s="19"/>
    </row>
    <row r="52" spans="1:15" x14ac:dyDescent="0.2">
      <c r="A52" s="24" t="s">
        <v>71</v>
      </c>
      <c r="O52" s="19"/>
    </row>
    <row r="53" spans="1:15" x14ac:dyDescent="0.2">
      <c r="O53" s="19"/>
    </row>
    <row r="54" spans="1:15" x14ac:dyDescent="0.2">
      <c r="A54" s="36" t="s">
        <v>80</v>
      </c>
      <c r="O54" s="19"/>
    </row>
    <row r="55" spans="1:15" x14ac:dyDescent="0.2">
      <c r="O55" s="19"/>
    </row>
    <row r="56" spans="1:15" x14ac:dyDescent="0.2">
      <c r="A56" s="10"/>
    </row>
    <row r="57" spans="1:15" x14ac:dyDescent="0.2">
      <c r="A57" s="23"/>
      <c r="B57" s="23"/>
      <c r="C57" s="23"/>
      <c r="D57" s="23"/>
      <c r="F57" s="8" t="s">
        <v>150</v>
      </c>
    </row>
    <row r="58" spans="1:15" x14ac:dyDescent="0.2">
      <c r="A58" s="23"/>
      <c r="B58" s="23"/>
      <c r="C58" s="23"/>
      <c r="D58" s="23"/>
      <c r="F58" s="8" t="s">
        <v>151</v>
      </c>
    </row>
    <row r="59" spans="1:15" x14ac:dyDescent="0.2">
      <c r="A59" s="23"/>
      <c r="B59" s="23"/>
      <c r="C59" s="23"/>
      <c r="D59" s="23"/>
      <c r="F59" s="8" t="s">
        <v>152</v>
      </c>
    </row>
    <row r="60" spans="1:15" x14ac:dyDescent="0.2">
      <c r="A60" s="23"/>
      <c r="B60" s="23"/>
      <c r="C60" s="23"/>
      <c r="D60" s="23"/>
      <c r="F60" s="8" t="s">
        <v>153</v>
      </c>
    </row>
    <row r="61" spans="1:15" ht="16.149999999999999" customHeight="1" x14ac:dyDescent="0.2">
      <c r="A61" s="23"/>
      <c r="B61" s="23"/>
      <c r="C61" s="23"/>
      <c r="D61" s="23"/>
      <c r="F61" s="97" t="s">
        <v>154</v>
      </c>
    </row>
    <row r="62" spans="1:15" x14ac:dyDescent="0.2">
      <c r="A62" s="23"/>
      <c r="B62" s="23"/>
      <c r="C62" s="23"/>
      <c r="D62" s="23"/>
    </row>
    <row r="63" spans="1:15" x14ac:dyDescent="0.2">
      <c r="A63" s="23"/>
      <c r="B63" s="23"/>
      <c r="C63" s="23"/>
      <c r="D63" s="23"/>
    </row>
    <row r="64" spans="1:15" x14ac:dyDescent="0.2">
      <c r="A64" s="23"/>
      <c r="B64" s="23"/>
      <c r="C64" s="23"/>
      <c r="D64" s="23"/>
    </row>
    <row r="65" spans="1:4" x14ac:dyDescent="0.2">
      <c r="A65" s="23"/>
      <c r="B65" s="23"/>
      <c r="C65" s="23"/>
      <c r="D65" s="23"/>
    </row>
    <row r="66" spans="1:4" x14ac:dyDescent="0.2">
      <c r="A66" s="23"/>
      <c r="B66" s="23"/>
      <c r="C66" s="23"/>
      <c r="D66" s="23"/>
    </row>
    <row r="67" spans="1:4" x14ac:dyDescent="0.2">
      <c r="A67" s="23"/>
      <c r="B67" s="23"/>
      <c r="C67" s="23"/>
      <c r="D67" s="23"/>
    </row>
    <row r="68" spans="1:4" x14ac:dyDescent="0.2">
      <c r="A68" s="23"/>
      <c r="B68" s="23"/>
      <c r="C68" s="23"/>
      <c r="D68" s="23"/>
    </row>
    <row r="69" spans="1:4" x14ac:dyDescent="0.2">
      <c r="A69" s="23"/>
      <c r="B69" s="23"/>
      <c r="C69" s="23"/>
      <c r="D69" s="23"/>
    </row>
    <row r="70" spans="1:4" x14ac:dyDescent="0.2">
      <c r="A70" s="23"/>
      <c r="B70" s="23"/>
      <c r="C70" s="23"/>
      <c r="D70" s="23"/>
    </row>
    <row r="71" spans="1:4" x14ac:dyDescent="0.2">
      <c r="A71" s="23"/>
      <c r="B71" s="23"/>
      <c r="C71" s="23"/>
      <c r="D71" s="23"/>
    </row>
    <row r="72" spans="1:4" x14ac:dyDescent="0.2">
      <c r="A72" s="23"/>
      <c r="B72" s="23"/>
      <c r="C72" s="23"/>
      <c r="D72" s="23"/>
    </row>
    <row r="73" spans="1:4" x14ac:dyDescent="0.2">
      <c r="A73" s="23"/>
      <c r="B73" s="23"/>
      <c r="C73" s="23"/>
      <c r="D73" s="23"/>
    </row>
    <row r="74" spans="1:4" x14ac:dyDescent="0.2">
      <c r="A74" s="23"/>
      <c r="B74" s="23"/>
      <c r="C74" s="23"/>
      <c r="D74" s="23"/>
    </row>
    <row r="75" spans="1:4" x14ac:dyDescent="0.2">
      <c r="A75" s="23"/>
      <c r="B75" s="23"/>
      <c r="C75" s="23"/>
      <c r="D75" s="23"/>
    </row>
    <row r="76" spans="1:4" x14ac:dyDescent="0.2">
      <c r="A76" s="23"/>
      <c r="B76" s="23"/>
      <c r="C76" s="23"/>
      <c r="D76" s="23"/>
    </row>
    <row r="77" spans="1:4" x14ac:dyDescent="0.2">
      <c r="A77" s="23"/>
      <c r="B77" s="23"/>
      <c r="C77" s="23"/>
      <c r="D77" s="23"/>
    </row>
    <row r="78" spans="1:4" x14ac:dyDescent="0.2">
      <c r="A78" s="23"/>
      <c r="B78" s="23"/>
      <c r="C78" s="23"/>
      <c r="D78" s="23"/>
    </row>
    <row r="79" spans="1:4" x14ac:dyDescent="0.2">
      <c r="A79" s="23"/>
      <c r="B79" s="23"/>
      <c r="C79" s="23"/>
      <c r="D79" s="23"/>
    </row>
    <row r="80" spans="1:4" x14ac:dyDescent="0.2">
      <c r="A80" s="23"/>
      <c r="B80" s="23"/>
      <c r="C80" s="23"/>
      <c r="D80" s="23"/>
    </row>
    <row r="81" spans="1:4" x14ac:dyDescent="0.2">
      <c r="A81" s="23"/>
      <c r="B81" s="23"/>
      <c r="C81" s="23"/>
      <c r="D81" s="23"/>
    </row>
    <row r="82" spans="1:4" x14ac:dyDescent="0.2">
      <c r="A82" s="23"/>
      <c r="B82" s="23"/>
      <c r="C82" s="23"/>
      <c r="D82" s="23"/>
    </row>
    <row r="83" spans="1:4" x14ac:dyDescent="0.2">
      <c r="A83" s="24"/>
      <c r="B83" s="23"/>
      <c r="C83" s="23"/>
      <c r="D83" s="23"/>
    </row>
    <row r="84" spans="1:4" x14ac:dyDescent="0.2">
      <c r="A84" s="24"/>
      <c r="B84" s="24"/>
      <c r="C84" s="23"/>
      <c r="D84" s="23"/>
    </row>
    <row r="85" spans="1:4" x14ac:dyDescent="0.2">
      <c r="A85" s="23"/>
      <c r="B85" s="23"/>
    </row>
  </sheetData>
  <sortState xmlns:xlrd2="http://schemas.microsoft.com/office/spreadsheetml/2017/richdata2" ref="C12:E36">
    <sortCondition descending="1" ref="D12"/>
  </sortState>
  <phoneticPr fontId="1" type="noConversion"/>
  <hyperlinks>
    <hyperlink ref="A54" r:id="rId1" display="https://ec.europa.eu/eurostat/databrowser/view/nrg_ind_market__custom_12597302/default/table?lang=en" xr:uid="{69CC0BAA-E529-46E4-81D0-A3C0E50809E7}"/>
  </hyperlinks>
  <pageMargins left="0.75" right="0.75" top="1" bottom="1" header="0.5" footer="0.5"/>
  <pageSetup paperSize="150" orientation="portrait" horizontalDpi="2400" verticalDpi="2400" r:id="rId2"/>
  <headerFooter alignWithMargins="0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Tables &amp; Figures</vt:lpstr>
      <vt:lpstr>Figure 1</vt:lpstr>
      <vt:lpstr>Figure 2</vt:lpstr>
      <vt:lpstr>Figure 3</vt:lpstr>
      <vt:lpstr>Figure 4</vt:lpstr>
      <vt:lpstr>Figure 5</vt:lpstr>
    </vt:vector>
  </TitlesOfParts>
  <Company>INFORMA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Stavros.LAZAROU@ec.europa.eu</dc:creator>
  <cp:lastModifiedBy>GNJATOVIC Tena (ESTAT)</cp:lastModifiedBy>
  <cp:lastPrinted>2011-11-16T14:38:52Z</cp:lastPrinted>
  <dcterms:created xsi:type="dcterms:W3CDTF">1996-10-14T23:33:28Z</dcterms:created>
  <dcterms:modified xsi:type="dcterms:W3CDTF">2025-11-26T12:32:53Z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1090608926</vt:i4>
  </property>
  <property fmtid="{D5CDD505-2E9C-101B-9397-08002B2CF9AE}" pid="3" name="_NewReviewCycle">
    <vt:lpwstr/>
  </property>
  <property fmtid="{D5CDD505-2E9C-101B-9397-08002B2CF9AE}" pid="4" name="_EmailSubject">
    <vt:lpwstr>YB continued</vt:lpwstr>
  </property>
  <property fmtid="{D5CDD505-2E9C-101B-9397-08002B2CF9AE}" pid="5" name="_AuthorEmail">
    <vt:lpwstr>Andrew.Redpath@informa.lu</vt:lpwstr>
  </property>
  <property fmtid="{D5CDD505-2E9C-101B-9397-08002B2CF9AE}" pid="6" name="_AuthorEmailDisplayName">
    <vt:lpwstr>Andrew Redpath</vt:lpwstr>
  </property>
  <property fmtid="{D5CDD505-2E9C-101B-9397-08002B2CF9AE}" pid="7" name="_ReviewingToolsShownOnce">
    <vt:lpwstr/>
  </property>
  <property fmtid="{D5CDD505-2E9C-101B-9397-08002B2CF9AE}" pid="8" name="MSIP_Label_6bd9ddd1-4d20-43f6-abfa-fc3c07406f94_Enabled">
    <vt:lpwstr>true</vt:lpwstr>
  </property>
  <property fmtid="{D5CDD505-2E9C-101B-9397-08002B2CF9AE}" pid="9" name="MSIP_Label_6bd9ddd1-4d20-43f6-abfa-fc3c07406f94_SetDate">
    <vt:lpwstr>2024-08-14T16:43:40Z</vt:lpwstr>
  </property>
  <property fmtid="{D5CDD505-2E9C-101B-9397-08002B2CF9AE}" pid="10" name="MSIP_Label_6bd9ddd1-4d20-43f6-abfa-fc3c07406f94_Method">
    <vt:lpwstr>Standard</vt:lpwstr>
  </property>
  <property fmtid="{D5CDD505-2E9C-101B-9397-08002B2CF9AE}" pid="11" name="MSIP_Label_6bd9ddd1-4d20-43f6-abfa-fc3c07406f94_Name">
    <vt:lpwstr>Commission Use</vt:lpwstr>
  </property>
  <property fmtid="{D5CDD505-2E9C-101B-9397-08002B2CF9AE}" pid="12" name="MSIP_Label_6bd9ddd1-4d20-43f6-abfa-fc3c07406f94_SiteId">
    <vt:lpwstr>b24c8b06-522c-46fe-9080-70926f8dddb1</vt:lpwstr>
  </property>
  <property fmtid="{D5CDD505-2E9C-101B-9397-08002B2CF9AE}" pid="13" name="MSIP_Label_6bd9ddd1-4d20-43f6-abfa-fc3c07406f94_ActionId">
    <vt:lpwstr>402a05a5-3918-4b22-857f-481fb6e93d9f</vt:lpwstr>
  </property>
  <property fmtid="{D5CDD505-2E9C-101B-9397-08002B2CF9AE}" pid="14" name="MSIP_Label_6bd9ddd1-4d20-43f6-abfa-fc3c07406f94_ContentBits">
    <vt:lpwstr>0</vt:lpwstr>
  </property>
</Properties>
</file>